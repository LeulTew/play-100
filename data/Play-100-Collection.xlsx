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The 100" sheetId="2" r:id="rId2"/>
    <sheet name="Chronology" sheetId="3" r:id="rId3"/>
    <sheet name="Cover Gallery" sheetId="4" r:id="rId4"/>
    <sheet name="Methodology" sheetId="5" r:id="rId5"/>
  </sheets>
  <definedNames>
    <definedName name="_xlnm.Print_Area" localSheetId="2">Chronology!$A$1:$J$112</definedName>
    <definedName name="_xlnm.Print_Area" localSheetId="3">'Cover Gallery'!$A$1:$S$312</definedName>
    <definedName name="_xlnm.Print_Area" localSheetId="4">Methodology!$A$1:$O$101</definedName>
    <definedName name="_xlnm.Print_Area" localSheetId="0">'Start Here'!$A$1:$P$59</definedName>
    <definedName name="_xlnm.Print_Area" localSheetId="1">'The 100'!$A$1:$P$112</definedName>
    <definedName name="_xlnm.Print_Titles" localSheetId="2">Chronology!$6:$6</definedName>
    <definedName name="_xlnm.Print_Titles" localSheetId="3">'Cover Gallery'!$1:$5</definedName>
    <definedName name="_xlnm.Print_Titles" localSheetId="4">Methodology!$1:$4</definedName>
    <definedName name="_xlnm.Print_Titles" localSheetId="1">'The 100'!$6:$6</definedName>
  </definedNames>
  <calcPr calcId="124519" fullCalcOnLoad="1"/>
</workbook>
</file>

<file path=xl/comments1.xml><?xml version="1.0" encoding="utf-8"?>
<comments xmlns="http://schemas.openxmlformats.org/spreadsheetml/2006/main">
  <authors>
    <author/>
  </authors>
  <commentList>
    <comment ref="L6" authorId="0">
      <text>
        <r>
          <rPr>
            <sz val="8"/>
            <color indexed="81"/>
            <rFont val="Tahoma"/>
            <family val="2"/>
          </rPr>
          <t>Average of available numeric entries. IGN and GameSpot are multiplied by 10. Both entered Metacritic columns count, so this is not an average of independent publications.</t>
        </r>
      </text>
    </comment>
    <comment ref="M6" authorId="0">
      <text>
        <r>
          <rPr>
            <sz val="8"/>
            <color indexed="81"/>
            <rFont val="Tahoma"/>
            <family val="2"/>
          </rPr>
          <t>Leul Tewodros Agonafer's original ratings from column L, headed "my rating(based on rank)". Original cached values are retained, including rounded text values; they are not replaced by a new formula. Visitor/device-only ratings are a separate website feature.</t>
        </r>
      </text>
    </comment>
    <comment ref="N6" authorId="0">
      <text>
        <r>
          <rPr>
            <sz val="8"/>
            <color indexed="81"/>
            <rFont val="Tahoma"/>
            <family val="2"/>
          </rPr>
          <t>Only explicit source annotations are preserved. Blank does not mean played.</t>
        </r>
      </text>
    </comment>
    <comment ref="M7" authorId="0">
      <text>
        <r>
          <rPr>
            <sz val="8"/>
            <color indexed="81"/>
            <rFont val="Tahoma"/>
            <family val="2"/>
          </rPr>
          <t>Leul Tewodros Agonafer — original rating
Source: AAA Top 50!L5
Exact cached text: 10
Original header: my rating(based on rank)
Preserved, not recomputed. Source annotations are also shown in Source note.</t>
        </r>
      </text>
    </comment>
    <comment ref="M8" authorId="0">
      <text>
        <r>
          <rPr>
            <sz val="8"/>
            <color indexed="81"/>
            <rFont val="Tahoma"/>
            <family val="2"/>
          </rPr>
          <t>Leul Tewodros Agonafer — original rating
Source: AAA Top 50!L6
Exact cached text: 9.9696969696969688
Original header: my rating(based on rank)
Preserved, not recomputed. Source annotations are also shown in Source note.</t>
        </r>
      </text>
    </comment>
    <comment ref="M9" authorId="0">
      <text>
        <r>
          <rPr>
            <sz val="8"/>
            <color indexed="81"/>
            <rFont val="Tahoma"/>
            <family val="2"/>
          </rPr>
          <t>Leul Tewodros Agonafer — original rating
Source: AAA Top 50!L7
Exact cached text: 9.9 (AI – not played)
Original header: my rating(based on rank)
Preserved, not recomputed. Source annotations are also shown in Source note.</t>
        </r>
      </text>
    </comment>
    <comment ref="M10" authorId="0">
      <text>
        <r>
          <rPr>
            <sz val="8"/>
            <color indexed="81"/>
            <rFont val="Tahoma"/>
            <family val="2"/>
          </rPr>
          <t>Leul Tewodros Agonafer — original rating
Source: AAA Top 50!L8
Exact cached text: 9.9090909090909083
Original header: my rating(based on rank)
Preserved, not recomputed. Source annotations are also shown in Source note.</t>
        </r>
      </text>
    </comment>
    <comment ref="M11" authorId="0">
      <text>
        <r>
          <rPr>
            <sz val="8"/>
            <color indexed="81"/>
            <rFont val="Tahoma"/>
            <family val="2"/>
          </rPr>
          <t>Leul Tewodros Agonafer — original rating
Source: AAA Top 50!L9
Exact cached text: 9.8787878787878789
Original header: my rating(based on rank)
Preserved, not recomputed. Source annotations are also shown in Source note.</t>
        </r>
      </text>
    </comment>
    <comment ref="M12" authorId="0">
      <text>
        <r>
          <rPr>
            <sz val="8"/>
            <color indexed="81"/>
            <rFont val="Tahoma"/>
            <family val="2"/>
          </rPr>
          <t>Leul Tewodros Agonafer — original rating
Source: AAA Top 50!L10
Exact cached text: 9.8484848484848477
Original header: my rating(based on rank)
Preserved, not recomputed. Source annotations are also shown in Source note.</t>
        </r>
      </text>
    </comment>
    <comment ref="M13" authorId="0">
      <text>
        <r>
          <rPr>
            <sz val="8"/>
            <color indexed="81"/>
            <rFont val="Tahoma"/>
            <family val="2"/>
          </rPr>
          <t>Leul Tewodros Agonafer — original rating
Source: AAA Top 50!L11
Exact cached text: 9.8
Original header: my rating(based on rank)
Preserved, not recomputed. Source annotations are also shown in Source note.</t>
        </r>
      </text>
    </comment>
    <comment ref="M14" authorId="0">
      <text>
        <r>
          <rPr>
            <sz val="8"/>
            <color indexed="81"/>
            <rFont val="Tahoma"/>
            <family val="2"/>
          </rPr>
          <t>Leul Tewodros Agonafer — original rating
Source: AAA Top 50!L12
Exact cached text: 9.7878787878787872
Original header: my rating(based on rank)
Preserved, not recomputed. Source annotations are also shown in Source note.</t>
        </r>
      </text>
    </comment>
    <comment ref="M15" authorId="0">
      <text>
        <r>
          <rPr>
            <sz val="8"/>
            <color indexed="81"/>
            <rFont val="Tahoma"/>
            <family val="2"/>
          </rPr>
          <t>Leul Tewodros Agonafer — original rating
Source: AAA Top 50!L13
Exact cached text: 9.7575757575757578
Original header: my rating(based on rank)
Preserved, not recomputed. Source annotations are also shown in Source note.</t>
        </r>
      </text>
    </comment>
    <comment ref="M16" authorId="0">
      <text>
        <r>
          <rPr>
            <sz val="8"/>
            <color indexed="81"/>
            <rFont val="Tahoma"/>
            <family val="2"/>
          </rPr>
          <t>Leul Tewodros Agonafer — original rating
Source: AAA Top 50!L14
Exact cached text: 9.7272727272727266
Original header: my rating(based on rank)
Preserved, not recomputed. Source annotations are also shown in Source note.</t>
        </r>
      </text>
    </comment>
    <comment ref="M17" authorId="0">
      <text>
        <r>
          <rPr>
            <sz val="8"/>
            <color indexed="81"/>
            <rFont val="Tahoma"/>
            <family val="2"/>
          </rPr>
          <t>Leul Tewodros Agonafer — original rating
Source: AAA Top 50!L15
Exact cached text: 9.7 (AI – not played)
Original header: my rating(based on rank)
Preserved, not recomputed. Source annotations are also shown in Source note.</t>
        </r>
      </text>
    </comment>
    <comment ref="M18" authorId="0">
      <text>
        <r>
          <rPr>
            <sz val="8"/>
            <color indexed="81"/>
            <rFont val="Tahoma"/>
            <family val="2"/>
          </rPr>
          <t>Leul Tewodros Agonafer — original rating
Source: AAA Top 50!L16
Exact cached text: 9.7 (AI – not played)
Original header: my rating(based on rank)
Preserved, not recomputed. Source annotations are also shown in Source note.</t>
        </r>
      </text>
    </comment>
    <comment ref="M19" authorId="0">
      <text>
        <r>
          <rPr>
            <sz val="8"/>
            <color indexed="81"/>
            <rFont val="Tahoma"/>
            <family val="2"/>
          </rPr>
          <t>Leul Tewodros Agonafer — original rating
Source: AAA Top 50!L17
Exact cached text: 9.6363636363636367
Original header: my rating(based on rank)
Preserved, not recomputed. Source annotations are also shown in Source note.</t>
        </r>
      </text>
    </comment>
    <comment ref="M20" authorId="0">
      <text>
        <r>
          <rPr>
            <sz val="8"/>
            <color indexed="81"/>
            <rFont val="Tahoma"/>
            <family val="2"/>
          </rPr>
          <t>Leul Tewodros Agonafer — original rating
Source: AAA Top 50!L18
Exact cached text: 9.6060606060606055
Original header: my rating(based on rank)
Preserved, not recomputed. Source annotations are also shown in Source note.</t>
        </r>
      </text>
    </comment>
    <comment ref="M21" authorId="0">
      <text>
        <r>
          <rPr>
            <sz val="8"/>
            <color indexed="81"/>
            <rFont val="Tahoma"/>
            <family val="2"/>
          </rPr>
          <t>Leul Tewodros Agonafer — original rating
Source: AAA Top 50!L19
Exact cached text: 9.6 (AI – not played)
Original header: my rating(based on rank)
Preserved, not recomputed. Source annotations are also shown in Source note.</t>
        </r>
      </text>
    </comment>
    <comment ref="M22" authorId="0">
      <text>
        <r>
          <rPr>
            <sz val="8"/>
            <color indexed="81"/>
            <rFont val="Tahoma"/>
            <family val="2"/>
          </rPr>
          <t>Leul Tewodros Agonafer — original rating
Source: AAA Top 50!L20
Exact cached text: 9.545454545454545
Original header: my rating(based on rank)
Preserved, not recomputed. Source annotations are also shown in Source note.</t>
        </r>
      </text>
    </comment>
    <comment ref="M23" authorId="0">
      <text>
        <r>
          <rPr>
            <sz val="8"/>
            <color indexed="81"/>
            <rFont val="Tahoma"/>
            <family val="2"/>
          </rPr>
          <t>Leul Tewodros Agonafer — original rating
Source: AAA Top 50!L21
Exact cached text: 9.5151515151515156
Original header: my rating(based on rank)
Preserved, not recomputed. Source annotations are also shown in Source note.</t>
        </r>
      </text>
    </comment>
    <comment ref="M24" authorId="0">
      <text>
        <r>
          <rPr>
            <sz val="8"/>
            <color indexed="81"/>
            <rFont val="Tahoma"/>
            <family val="2"/>
          </rPr>
          <t>Leul Tewodros Agonafer — original rating
Source: AAA Top 50!L22
Exact cached text: 9.4848484848484844
Original header: my rating(based on rank)
Preserved, not recomputed. Source annotations are also shown in Source note.</t>
        </r>
      </text>
    </comment>
    <comment ref="M25" authorId="0">
      <text>
        <r>
          <rPr>
            <sz val="8"/>
            <color indexed="81"/>
            <rFont val="Tahoma"/>
            <family val="2"/>
          </rPr>
          <t>Leul Tewodros Agonafer — original rating
Source: AAA Top 50!L23
Exact cached text: 9.454545454545455
Original header: my rating(based on rank)
Preserved, not recomputed. Source annotations are also shown in Source note.</t>
        </r>
      </text>
    </comment>
    <comment ref="M26" authorId="0">
      <text>
        <r>
          <rPr>
            <sz val="8"/>
            <color indexed="81"/>
            <rFont val="Tahoma"/>
            <family val="2"/>
          </rPr>
          <t>Leul Tewodros Agonafer — original rating
Source: AAA Top 50!L24
Exact cached text: 9.4242424242424239
Original header: my rating(based on rank)
Preserved, not recomputed. Source annotations are also shown in Source note.</t>
        </r>
      </text>
    </comment>
    <comment ref="M27" authorId="0">
      <text>
        <r>
          <rPr>
            <sz val="8"/>
            <color indexed="81"/>
            <rFont val="Tahoma"/>
            <family val="2"/>
          </rPr>
          <t>Leul Tewodros Agonafer — original rating
Source: AAA Top 50!L25
Exact cached text: 9.3939393939393945
Original header: my rating(based on rank)
Preserved, not recomputed. Source annotations are also shown in Source note.</t>
        </r>
      </text>
    </comment>
    <comment ref="M28" authorId="0">
      <text>
        <r>
          <rPr>
            <sz val="8"/>
            <color indexed="81"/>
            <rFont val="Tahoma"/>
            <family val="2"/>
          </rPr>
          <t>Leul Tewodros Agonafer — original rating
Source: AAA Top 50!L26
Exact cached text: 9.4 (AI – not played)
Original header: my rating(based on rank)
Preserved, not recomputed. Source annotations are also shown in Source note.</t>
        </r>
      </text>
    </comment>
    <comment ref="M29" authorId="0">
      <text>
        <r>
          <rPr>
            <sz val="8"/>
            <color indexed="81"/>
            <rFont val="Tahoma"/>
            <family val="2"/>
          </rPr>
          <t>Leul Tewodros Agonafer — original rating
Source: AAA Top 50!L27
Exact cached text: 9.3333333333333339
Original header: my rating(based on rank)
Preserved, not recomputed. Source annotations are also shown in Source note.</t>
        </r>
      </text>
    </comment>
    <comment ref="M30" authorId="0">
      <text>
        <r>
          <rPr>
            <sz val="8"/>
            <color indexed="81"/>
            <rFont val="Tahoma"/>
            <family val="2"/>
          </rPr>
          <t>Leul Tewodros Agonafer — original rating
Source: AAA Top 50!L28
Exact cached text: 9.3 (AI – not played)
Original header: my rating(based on rank)
Preserved, not recomputed. Source annotations are also shown in Source note.</t>
        </r>
      </text>
    </comment>
    <comment ref="M31" authorId="0">
      <text>
        <r>
          <rPr>
            <sz val="8"/>
            <color indexed="81"/>
            <rFont val="Tahoma"/>
            <family val="2"/>
          </rPr>
          <t>Leul Tewodros Agonafer — original rating
Source: AAA Top 50!L29
Exact cached text: 9.2727272727272734
Original header: my rating(based on rank)
Preserved, not recomputed. Source annotations are also shown in Source note.</t>
        </r>
      </text>
    </comment>
    <comment ref="M32" authorId="0">
      <text>
        <r>
          <rPr>
            <sz val="8"/>
            <color indexed="81"/>
            <rFont val="Tahoma"/>
            <family val="2"/>
          </rPr>
          <t>Leul Tewodros Agonafer — original rating
Source: AAA Top 50!L30
Exact cached text: 9.2424242424242422
Original header: my rating(based on rank)
Preserved, not recomputed. Source annotations are also shown in Source note.</t>
        </r>
      </text>
    </comment>
    <comment ref="M33" authorId="0">
      <text>
        <r>
          <rPr>
            <sz val="8"/>
            <color indexed="81"/>
            <rFont val="Tahoma"/>
            <family val="2"/>
          </rPr>
          <t>Leul Tewodros Agonafer — original rating
Source: AAA Top 50!L31
Exact cached text: 9.2121212121212128
Original header: my rating(based on rank)
Preserved, not recomputed. Source annotations are also shown in Source note.</t>
        </r>
      </text>
    </comment>
    <comment ref="M34" authorId="0">
      <text>
        <r>
          <rPr>
            <sz val="8"/>
            <color indexed="81"/>
            <rFont val="Tahoma"/>
            <family val="2"/>
          </rPr>
          <t>Leul Tewodros Agonafer — original rating
Source: AAA Top 50!L32
Exact cached text: 9.2 (AI – not played)
Original header: my rating(based on rank)
Preserved, not recomputed. Source annotations are also shown in Source note.</t>
        </r>
      </text>
    </comment>
    <comment ref="M35" authorId="0">
      <text>
        <r>
          <rPr>
            <sz val="8"/>
            <color indexed="81"/>
            <rFont val="Tahoma"/>
            <family val="2"/>
          </rPr>
          <t>Leul Tewodros Agonafer — original rating
Source: AAA Top 50!L33
Exact cached text: 9.1515151515151523
Original header: my rating(based on rank)
Preserved, not recomputed. Source annotations are also shown in Source note.</t>
        </r>
      </text>
    </comment>
    <comment ref="M36" authorId="0">
      <text>
        <r>
          <rPr>
            <sz val="8"/>
            <color indexed="81"/>
            <rFont val="Tahoma"/>
            <family val="2"/>
          </rPr>
          <t>Leul Tewodros Agonafer — original rating
Source: AAA Top 50!L34
Exact cached text: 9.1 (AI – not played)
Original header: my rating(based on rank)
Preserved, not recomputed. Source annotations are also shown in Source note.</t>
        </r>
      </text>
    </comment>
    <comment ref="M37" authorId="0">
      <text>
        <r>
          <rPr>
            <sz val="8"/>
            <color indexed="81"/>
            <rFont val="Tahoma"/>
            <family val="2"/>
          </rPr>
          <t>Leul Tewodros Agonafer — original rating
Source: AAA Top 50!L35
Exact cached text: 9.0909090909090899
Original header: my rating(based on rank)
Preserved, not recomputed. Source annotations are also shown in Source note.</t>
        </r>
      </text>
    </comment>
    <comment ref="M38" authorId="0">
      <text>
        <r>
          <rPr>
            <sz val="8"/>
            <color indexed="81"/>
            <rFont val="Tahoma"/>
            <family val="2"/>
          </rPr>
          <t>Leul Tewodros Agonafer — original rating
Source: AAA Top 50!L36
Exact cached text: 9.0606060606060606
Original header: my rating(based on rank)
Preserved, not recomputed. Source annotations are also shown in Source note.</t>
        </r>
      </text>
    </comment>
    <comment ref="M39" authorId="0">
      <text>
        <r>
          <rPr>
            <sz val="8"/>
            <color indexed="81"/>
            <rFont val="Tahoma"/>
            <family val="2"/>
          </rPr>
          <t>Leul Tewodros Agonafer — original rating
Source: AAA Top 50!L37
Exact cached text: 9.0303030303030312
Original header: my rating(based on rank)
Preserved, not recomputed. Source annotations are also shown in Source note.</t>
        </r>
      </text>
    </comment>
    <comment ref="M40" authorId="0">
      <text>
        <r>
          <rPr>
            <sz val="8"/>
            <color indexed="81"/>
            <rFont val="Tahoma"/>
            <family val="2"/>
          </rPr>
          <t>Leul Tewodros Agonafer — original rating
Source: AAA Top 50!L38
Exact cached text: 9.0 (AI – not played)
Original header: my rating(based on rank)
Preserved, not recomputed. Source annotations are also shown in Source note.</t>
        </r>
      </text>
    </comment>
    <comment ref="M41" authorId="0">
      <text>
        <r>
          <rPr>
            <sz val="8"/>
            <color indexed="81"/>
            <rFont val="Tahoma"/>
            <family val="2"/>
          </rPr>
          <t>Leul Tewodros Agonafer — original rating
Source: AAA Top 50!L39
Exact cached text: 8.9696969696969688
Original header: my rating(based on rank)
Preserved, not recomputed. Source annotations are also shown in Source note.</t>
        </r>
      </text>
    </comment>
    <comment ref="M42" authorId="0">
      <text>
        <r>
          <rPr>
            <sz val="8"/>
            <color indexed="81"/>
            <rFont val="Tahoma"/>
            <family val="2"/>
          </rPr>
          <t>Leul Tewodros Agonafer — original rating
Source: AAA Top 50!L40
Exact cached text: 8.9393939393939394
Original header: my rating(based on rank)
Preserved, not recomputed. Source annotations are also shown in Source note.</t>
        </r>
      </text>
    </comment>
    <comment ref="M43" authorId="0">
      <text>
        <r>
          <rPr>
            <sz val="8"/>
            <color indexed="81"/>
            <rFont val="Tahoma"/>
            <family val="2"/>
          </rPr>
          <t>Leul Tewodros Agonafer — original rating
Source: AAA Top 50!L41
Exact cached text: 8.9090909090909101
Original header: my rating(based on rank)
Preserved, not recomputed. Source annotations are also shown in Source note.</t>
        </r>
      </text>
    </comment>
    <comment ref="M44" authorId="0">
      <text>
        <r>
          <rPr>
            <sz val="8"/>
            <color indexed="81"/>
            <rFont val="Tahoma"/>
            <family val="2"/>
          </rPr>
          <t>Leul Tewodros Agonafer — original rating
Source: AAA Top 50!L42
Exact cached text: 8.9 (AI – not played)
Original header: my rating(based on rank)
Preserved, not recomputed. Source annotations are also shown in Source note.</t>
        </r>
      </text>
    </comment>
    <comment ref="M45" authorId="0">
      <text>
        <r>
          <rPr>
            <sz val="8"/>
            <color indexed="81"/>
            <rFont val="Tahoma"/>
            <family val="2"/>
          </rPr>
          <t>Leul Tewodros Agonafer — original rating
Source: AAA Top 50!L43
Exact cached text: 8.8484848484848477
Original header: my rating(based on rank)
Preserved, not recomputed. Source annotations are also shown in Source note.</t>
        </r>
      </text>
    </comment>
    <comment ref="M46" authorId="0">
      <text>
        <r>
          <rPr>
            <sz val="8"/>
            <color indexed="81"/>
            <rFont val="Tahoma"/>
            <family val="2"/>
          </rPr>
          <t>Leul Tewodros Agonafer — original rating
Source: AAA Top 50!L44
Exact cached text: 8.8181818181818183
Original header: my rating(based on rank)
Preserved, not recomputed. Source annotations are also shown in Source note.</t>
        </r>
      </text>
    </comment>
    <comment ref="M47" authorId="0">
      <text>
        <r>
          <rPr>
            <sz val="8"/>
            <color indexed="81"/>
            <rFont val="Tahoma"/>
            <family val="2"/>
          </rPr>
          <t>Leul Tewodros Agonafer — original rating
Source: AAA Top 50!L45
Exact cached text: 8.7878787878787872
Original header: my rating(based on rank)
Preserved, not recomputed. Source annotations are also shown in Source note.</t>
        </r>
      </text>
    </comment>
    <comment ref="M48" authorId="0">
      <text>
        <r>
          <rPr>
            <sz val="8"/>
            <color indexed="81"/>
            <rFont val="Tahoma"/>
            <family val="2"/>
          </rPr>
          <t>Leul Tewodros Agonafer — original rating
Source: AAA Top 50!L46
Exact cached text: 8.7575757575757578
Original header: my rating(based on rank)
Preserved, not recomputed. Source annotations are also shown in Source note.</t>
        </r>
      </text>
    </comment>
    <comment ref="M49" authorId="0">
      <text>
        <r>
          <rPr>
            <sz val="8"/>
            <color indexed="81"/>
            <rFont val="Tahoma"/>
            <family val="2"/>
          </rPr>
          <t>Leul Tewodros Agonafer — original rating
Source: AAA Top 50!L47
Exact cached text: 8.7272727272727266
Original header: my rating(based on rank)
Preserved, not recomputed. Source annotations are also shown in Source note.</t>
        </r>
      </text>
    </comment>
    <comment ref="M50" authorId="0">
      <text>
        <r>
          <rPr>
            <sz val="8"/>
            <color indexed="81"/>
            <rFont val="Tahoma"/>
            <family val="2"/>
          </rPr>
          <t>Leul Tewodros Agonafer — original rating
Source: AAA Top 50!L48
Exact cached text: 8.6969696969696972
Original header: my rating(based on rank)
Preserved, not recomputed. Source annotations are also shown in Source note.</t>
        </r>
      </text>
    </comment>
    <comment ref="M51" authorId="0">
      <text>
        <r>
          <rPr>
            <sz val="8"/>
            <color indexed="81"/>
            <rFont val="Tahoma"/>
            <family val="2"/>
          </rPr>
          <t>Leul Tewodros Agonafer — original rating
Source: AAA Top 50!L49
Exact cached text: 8.6666666666666661
Original header: my rating(based on rank)
Preserved, not recomputed. Source annotations are also shown in Source note.</t>
        </r>
      </text>
    </comment>
    <comment ref="M52" authorId="0">
      <text>
        <r>
          <rPr>
            <sz val="8"/>
            <color indexed="81"/>
            <rFont val="Tahoma"/>
            <family val="2"/>
          </rPr>
          <t>Leul Tewodros Agonafer — original rating
Source: AAA Top 50!L50
Exact cached text: 8.6363636363636367
Original header: my rating(based on rank)
Preserved, not recomputed. Source annotations are also shown in Source note.</t>
        </r>
      </text>
    </comment>
    <comment ref="M53" authorId="0">
      <text>
        <r>
          <rPr>
            <sz val="8"/>
            <color indexed="81"/>
            <rFont val="Tahoma"/>
            <family val="2"/>
          </rPr>
          <t>Leul Tewodros Agonafer — original rating
Source: AAA Top 50!L51
Exact cached text: 8.6060606060606055
Original header: my rating(based on rank)
Preserved, not recomputed. Source annotations are also shown in Source note.</t>
        </r>
      </text>
    </comment>
    <comment ref="M54" authorId="0">
      <text>
        <r>
          <rPr>
            <sz val="8"/>
            <color indexed="81"/>
            <rFont val="Tahoma"/>
            <family val="2"/>
          </rPr>
          <t>Leul Tewodros Agonafer — original rating
Source: AAA Top 50!L52
Exact cached text: 8.6 (AI – not played)
Original header: my rating(based on rank)
Preserved, not recomputed. Source annotations are also shown in Source note.</t>
        </r>
      </text>
    </comment>
    <comment ref="M55" authorId="0">
      <text>
        <r>
          <rPr>
            <sz val="8"/>
            <color indexed="81"/>
            <rFont val="Tahoma"/>
            <family val="2"/>
          </rPr>
          <t>Leul Tewodros Agonafer — original rating
Source: AAA Top 50!L53
Exact cached text: 8.5 (AI – not played)
Original header: my rating(based on rank)
Preserved, not recomputed. Source annotations are also shown in Source note.</t>
        </r>
      </text>
    </comment>
    <comment ref="M56" authorId="0">
      <text>
        <r>
          <rPr>
            <sz val="8"/>
            <color indexed="81"/>
            <rFont val="Tahoma"/>
            <family val="2"/>
          </rPr>
          <t>Leul Tewodros Agonafer — original rating
Source: AAA Top 50!L54
Exact cached text: 8.5151515151515156
Original header: my rating(based on rank)
Preserved, not recomputed. Source annotations are also shown in Source note.</t>
        </r>
      </text>
    </comment>
    <comment ref="M57" authorId="0">
      <text>
        <r>
          <rPr>
            <sz val="8"/>
            <color indexed="81"/>
            <rFont val="Tahoma"/>
            <family val="2"/>
          </rPr>
          <t>Leul Tewodros Agonafer — original rating
Source: AAA Top 50!L56
Exact cached text: 8.4848484848484844
Original header: my rating(based on rank)
Preserved, not recomputed. Source annotations are also shown in Source note.</t>
        </r>
      </text>
    </comment>
    <comment ref="M58" authorId="0">
      <text>
        <r>
          <rPr>
            <sz val="8"/>
            <color indexed="81"/>
            <rFont val="Tahoma"/>
            <family val="2"/>
          </rPr>
          <t>Leul Tewodros Agonafer — original rating
Source: AAA Top 50!L57
Exact cached text: 8.454545454545455
Original header: my rating(based on rank)
Preserved, not recomputed. Source annotations are also shown in Source note.</t>
        </r>
      </text>
    </comment>
    <comment ref="M59" authorId="0">
      <text>
        <r>
          <rPr>
            <sz val="8"/>
            <color indexed="81"/>
            <rFont val="Tahoma"/>
            <family val="2"/>
          </rPr>
          <t>Leul Tewodros Agonafer — original rating
Source: AAA Top 50!L58
Exact cached text: 8.4242424242424239
Original header: my rating(based on rank)
Preserved, not recomputed. Source annotations are also shown in Source note.</t>
        </r>
      </text>
    </comment>
    <comment ref="M60" authorId="0">
      <text>
        <r>
          <rPr>
            <sz val="8"/>
            <color indexed="81"/>
            <rFont val="Tahoma"/>
            <family val="2"/>
          </rPr>
          <t>Leul Tewodros Agonafer — original rating
Source: AAA Top 50!L59
Exact cached text: 8.3939393939393945
Original header: my rating(based on rank)
Preserved, not recomputed. Source annotations are also shown in Source note.</t>
        </r>
      </text>
    </comment>
    <comment ref="M61" authorId="0">
      <text>
        <r>
          <rPr>
            <sz val="8"/>
            <color indexed="81"/>
            <rFont val="Tahoma"/>
            <family val="2"/>
          </rPr>
          <t>Leul Tewodros Agonafer — original rating
Source: AAA Top 50!L60
Exact cached text: 8.3636363636363633
Original header: my rating(based on rank)
Preserved, not recomputed. Source annotations are also shown in Source note.</t>
        </r>
      </text>
    </comment>
    <comment ref="M62" authorId="0">
      <text>
        <r>
          <rPr>
            <sz val="8"/>
            <color indexed="81"/>
            <rFont val="Tahoma"/>
            <family val="2"/>
          </rPr>
          <t>Leul Tewodros Agonafer — original rating
Source: AAA Top 50!L61
Exact cached text: 8.3333333333333339
Original header: my rating(based on rank)
Preserved, not recomputed. Source annotations are also shown in Source note.</t>
        </r>
      </text>
    </comment>
    <comment ref="M63" authorId="0">
      <text>
        <r>
          <rPr>
            <sz val="8"/>
            <color indexed="81"/>
            <rFont val="Tahoma"/>
            <family val="2"/>
          </rPr>
          <t>Leul Tewodros Agonafer — original rating
Source: AAA Top 50!L62
Exact cached text: 8.3030303030303028
Original header: my rating(based on rank)
Preserved, not recomputed. Source annotations are also shown in Source note.</t>
        </r>
      </text>
    </comment>
    <comment ref="M64" authorId="0">
      <text>
        <r>
          <rPr>
            <sz val="8"/>
            <color indexed="81"/>
            <rFont val="Tahoma"/>
            <family val="2"/>
          </rPr>
          <t>Leul Tewodros Agonafer — original rating
Source: AAA Top 50!L63
Exact cached text: 8.2727272727272734
Original header: my rating(based on rank)
Preserved, not recomputed. Source annotations are also shown in Source note.</t>
        </r>
      </text>
    </comment>
    <comment ref="M65" authorId="0">
      <text>
        <r>
          <rPr>
            <sz val="8"/>
            <color indexed="81"/>
            <rFont val="Tahoma"/>
            <family val="2"/>
          </rPr>
          <t>Leul Tewodros Agonafer — original rating
Source: AAA Top 50!L64
Exact cached text: 8.2424242424242422
Original header: my rating(based on rank)
Preserved, not recomputed. Source annotations are also shown in Source note.</t>
        </r>
      </text>
    </comment>
    <comment ref="M66" authorId="0">
      <text>
        <r>
          <rPr>
            <sz val="8"/>
            <color indexed="81"/>
            <rFont val="Tahoma"/>
            <family val="2"/>
          </rPr>
          <t>Leul Tewodros Agonafer — original rating
Source: AAA Top 50!L65
Exact cached text: 8.2121212121212128
Original header: my rating(based on rank)
Preserved, not recomputed. Source annotations are also shown in Source note.</t>
        </r>
      </text>
    </comment>
    <comment ref="M67" authorId="0">
      <text>
        <r>
          <rPr>
            <sz val="8"/>
            <color indexed="81"/>
            <rFont val="Tahoma"/>
            <family val="2"/>
          </rPr>
          <t>Leul Tewodros Agonafer — original rating
Source: AAA Top 50!L66
Exact cached text: 8.1818181818181817
Original header: my rating(based on rank)
Preserved, not recomputed. Source annotations are also shown in Source note.</t>
        </r>
      </text>
    </comment>
    <comment ref="M68" authorId="0">
      <text>
        <r>
          <rPr>
            <sz val="8"/>
            <color indexed="81"/>
            <rFont val="Tahoma"/>
            <family val="2"/>
          </rPr>
          <t>Leul Tewodros Agonafer — original rating
Source: AAA Top 50!L67
Exact cached text: 8.1515151515151523
Original header: my rating(based on rank)
Preserved, not recomputed. Source annotations are also shown in Source note.</t>
        </r>
      </text>
    </comment>
    <comment ref="M69" authorId="0">
      <text>
        <r>
          <rPr>
            <sz val="8"/>
            <color indexed="81"/>
            <rFont val="Tahoma"/>
            <family val="2"/>
          </rPr>
          <t>Leul Tewodros Agonafer — original rating
Source: AAA Top 50!L68
Exact cached text: 8.1212121212121211
Original header: my rating(based on rank)
Preserved, not recomputed. Source annotations are also shown in Source note.</t>
        </r>
      </text>
    </comment>
    <comment ref="M70" authorId="0">
      <text>
        <r>
          <rPr>
            <sz val="8"/>
            <color indexed="81"/>
            <rFont val="Tahoma"/>
            <family val="2"/>
          </rPr>
          <t>Leul Tewodros Agonafer — original rating
Source: AAA Top 50!L69
Exact cached text: 8.0909090909090899
Original header: my rating(based on rank)
Preserved, not recomputed. Source annotations are also shown in Source note.</t>
        </r>
      </text>
    </comment>
    <comment ref="M71" authorId="0">
      <text>
        <r>
          <rPr>
            <sz val="8"/>
            <color indexed="81"/>
            <rFont val="Tahoma"/>
            <family val="2"/>
          </rPr>
          <t>Leul Tewodros Agonafer — original rating
Source: AAA Top 50!L70
Exact cached text: 8.0606060606060606
Original header: my rating(based on rank)
Preserved, not recomputed. Source annotations are also shown in Source note.</t>
        </r>
      </text>
    </comment>
    <comment ref="M72" authorId="0">
      <text>
        <r>
          <rPr>
            <sz val="8"/>
            <color indexed="81"/>
            <rFont val="Tahoma"/>
            <family val="2"/>
          </rPr>
          <t>Leul Tewodros Agonafer — original rating
Source: AAA Top 50!L71
Exact cached text: 8.0303030303030312
Original header: my rating(based on rank)
Preserved, not recomputed. Source annotations are also shown in Source note.</t>
        </r>
      </text>
    </comment>
    <comment ref="M73" authorId="0">
      <text>
        <r>
          <rPr>
            <sz val="8"/>
            <color indexed="81"/>
            <rFont val="Tahoma"/>
            <family val="2"/>
          </rPr>
          <t>Leul Tewodros Agonafer — original rating
Source: AAA Top 50!L72
Exact cached text: 8
Original header: my rating(based on rank)
Preserved, not recomputed. Source annotations are also shown in Source note.</t>
        </r>
      </text>
    </comment>
    <comment ref="M74" authorId="0">
      <text>
        <r>
          <rPr>
            <sz val="8"/>
            <color indexed="81"/>
            <rFont val="Tahoma"/>
            <family val="2"/>
          </rPr>
          <t>Leul Tewodros Agonafer — original rating
Source: AAA Top 50!L73
Exact cached text: 7.9696969696969697
Original header: my rating(based on rank)
Preserved, not recomputed. Source annotations are also shown in Source note.</t>
        </r>
      </text>
    </comment>
    <comment ref="M75" authorId="0">
      <text>
        <r>
          <rPr>
            <sz val="8"/>
            <color indexed="81"/>
            <rFont val="Tahoma"/>
            <family val="2"/>
          </rPr>
          <t>Leul Tewodros Agonafer — original rating
Source: AAA Top 50!L74
Exact cached text: 7.9393939393939394
Original header: my rating(based on rank)
Preserved, not recomputed. Source annotations are also shown in Source note.</t>
        </r>
      </text>
    </comment>
    <comment ref="M76" authorId="0">
      <text>
        <r>
          <rPr>
            <sz val="8"/>
            <color indexed="81"/>
            <rFont val="Tahoma"/>
            <family val="2"/>
          </rPr>
          <t>Leul Tewodros Agonafer — original rating
Source: AAA Top 50!L75
Exact cached text: 7.9090909090909092
Original header: my rating(based on rank)
Preserved, not recomputed. Source annotations are also shown in Source note.</t>
        </r>
      </text>
    </comment>
    <comment ref="M77" authorId="0">
      <text>
        <r>
          <rPr>
            <sz val="8"/>
            <color indexed="81"/>
            <rFont val="Tahoma"/>
            <family val="2"/>
          </rPr>
          <t>Leul Tewodros Agonafer — original rating
Source: AAA Top 50!L76
Exact cached text: 7.8787878787878789
Original header: my rating(based on rank)
Preserved, not recomputed. Source annotations are also shown in Source note.</t>
        </r>
      </text>
    </comment>
    <comment ref="M78" authorId="0">
      <text>
        <r>
          <rPr>
            <sz val="8"/>
            <color indexed="81"/>
            <rFont val="Tahoma"/>
            <family val="2"/>
          </rPr>
          <t>Leul Tewodros Agonafer — original rating
Source: AAA Top 50!L77
Exact cached text: 7.8484848484848486
Original header: my rating(based on rank)
Preserved, not recomputed. Source annotations are also shown in Source note.</t>
        </r>
      </text>
    </comment>
    <comment ref="M79" authorId="0">
      <text>
        <r>
          <rPr>
            <sz val="8"/>
            <color indexed="81"/>
            <rFont val="Tahoma"/>
            <family val="2"/>
          </rPr>
          <t>Leul Tewodros Agonafer — original rating
Source: AAA Top 50!L78
Exact cached text: 7.8181818181818183
Original header: my rating(based on rank)
Preserved, not recomputed. Source annotations are also shown in Source note.</t>
        </r>
      </text>
    </comment>
    <comment ref="M80" authorId="0">
      <text>
        <r>
          <rPr>
            <sz val="8"/>
            <color indexed="81"/>
            <rFont val="Tahoma"/>
            <family val="2"/>
          </rPr>
          <t>Leul Tewodros Agonafer — original rating
Source: AAA Top 50!L79
Exact cached text: 7.7878787878787872
Original header: my rating(based on rank)
Preserved, not recomputed. Source annotations are also shown in Source note.</t>
        </r>
      </text>
    </comment>
    <comment ref="M81" authorId="0">
      <text>
        <r>
          <rPr>
            <sz val="8"/>
            <color indexed="81"/>
            <rFont val="Tahoma"/>
            <family val="2"/>
          </rPr>
          <t>Leul Tewodros Agonafer — original rating
Source: AAA Top 50!L80
Exact cached text: 7.7575757575757578
Original header: my rating(based on rank)
Preserved, not recomputed. Source annotations are also shown in Source note.</t>
        </r>
      </text>
    </comment>
    <comment ref="M82" authorId="0">
      <text>
        <r>
          <rPr>
            <sz val="8"/>
            <color indexed="81"/>
            <rFont val="Tahoma"/>
            <family val="2"/>
          </rPr>
          <t>Leul Tewodros Agonafer — original rating
Source: AAA Top 50!L81
Exact cached text: 7.7272727272727266
Original header: my rating(based on rank)
Preserved, not recomputed. Source annotations are also shown in Source note.</t>
        </r>
      </text>
    </comment>
    <comment ref="M83" authorId="0">
      <text>
        <r>
          <rPr>
            <sz val="8"/>
            <color indexed="81"/>
            <rFont val="Tahoma"/>
            <family val="2"/>
          </rPr>
          <t>Leul Tewodros Agonafer — original rating
Source: AAA Top 50!L82
Exact cached text: 7.6969696969696972
Original header: my rating(based on rank)
Preserved, not recomputed. Source annotations are also shown in Source note.</t>
        </r>
      </text>
    </comment>
    <comment ref="M84" authorId="0">
      <text>
        <r>
          <rPr>
            <sz val="8"/>
            <color indexed="81"/>
            <rFont val="Tahoma"/>
            <family val="2"/>
          </rPr>
          <t>Leul Tewodros Agonafer — original rating
Source: AAA Top 50!L83
Exact cached text: 7.6666666666666661
Original header: my rating(based on rank)
Preserved, not recomputed. Source annotations are also shown in Source note.</t>
        </r>
      </text>
    </comment>
    <comment ref="M85" authorId="0">
      <text>
        <r>
          <rPr>
            <sz val="8"/>
            <color indexed="81"/>
            <rFont val="Tahoma"/>
            <family val="2"/>
          </rPr>
          <t>Leul Tewodros Agonafer — original rating
Source: AAA Top 50!L84
Exact cached text: 7.6363636363636367
Original header: my rating(based on rank)
Preserved, not recomputed. Source annotations are also shown in Source note.</t>
        </r>
      </text>
    </comment>
    <comment ref="M86" authorId="0">
      <text>
        <r>
          <rPr>
            <sz val="8"/>
            <color indexed="81"/>
            <rFont val="Tahoma"/>
            <family val="2"/>
          </rPr>
          <t>Leul Tewodros Agonafer — original rating
Source: AAA Top 50!L85
Exact cached text: 7.6060606060606055
Original header: my rating(based on rank)
Preserved, not recomputed. Source annotations are also shown in Source note.</t>
        </r>
      </text>
    </comment>
    <comment ref="M87" authorId="0">
      <text>
        <r>
          <rPr>
            <sz val="8"/>
            <color indexed="81"/>
            <rFont val="Tahoma"/>
            <family val="2"/>
          </rPr>
          <t>Leul Tewodros Agonafer — original rating
Source: AAA Top 50!L86
Exact cached text: 7.5757575757575761
Original header: my rating(based on rank)
Preserved, not recomputed. Source annotations are also shown in Source note.</t>
        </r>
      </text>
    </comment>
    <comment ref="M88" authorId="0">
      <text>
        <r>
          <rPr>
            <sz val="8"/>
            <color indexed="81"/>
            <rFont val="Tahoma"/>
            <family val="2"/>
          </rPr>
          <t>Leul Tewodros Agonafer — original rating
Source: AAA Top 50!L87
Exact cached text: 7.545454545454545
Original header: my rating(based on rank)
Preserved, not recomputed. Source annotations are also shown in Source note.</t>
        </r>
      </text>
    </comment>
    <comment ref="M89" authorId="0">
      <text>
        <r>
          <rPr>
            <sz val="8"/>
            <color indexed="81"/>
            <rFont val="Tahoma"/>
            <family val="2"/>
          </rPr>
          <t>Leul Tewodros Agonafer — original rating
Source: AAA Top 50!L88
Exact cached text: 7.5151515151515156
Original header: my rating(based on rank)
Preserved, not recomputed. Source annotations are also shown in Source note.</t>
        </r>
      </text>
    </comment>
    <comment ref="M90" authorId="0">
      <text>
        <r>
          <rPr>
            <sz val="8"/>
            <color indexed="81"/>
            <rFont val="Tahoma"/>
            <family val="2"/>
          </rPr>
          <t>Leul Tewodros Agonafer — original rating
Source: AAA Top 50!L89
Exact cached text: 7.4848484848484844
Original header: my rating(based on rank)
Preserved, not recomputed. Source annotations are also shown in Source note.</t>
        </r>
      </text>
    </comment>
    <comment ref="M91" authorId="0">
      <text>
        <r>
          <rPr>
            <sz val="8"/>
            <color indexed="81"/>
            <rFont val="Tahoma"/>
            <family val="2"/>
          </rPr>
          <t>Leul Tewodros Agonafer — original rating
Source: AAA Top 50!L90
Exact cached text: 7.454545454545455
Original header: my rating(based on rank)
Preserved, not recomputed. Source annotations are also shown in Source note.</t>
        </r>
      </text>
    </comment>
    <comment ref="M92" authorId="0">
      <text>
        <r>
          <rPr>
            <sz val="8"/>
            <color indexed="81"/>
            <rFont val="Tahoma"/>
            <family val="2"/>
          </rPr>
          <t>Leul Tewodros Agonafer — original rating
Source: AAA Top 50!L91
Exact cached text: 7.4242424242424239
Original header: my rating(based on rank)
Preserved, not recomputed. Source annotations are also shown in Source note.</t>
        </r>
      </text>
    </comment>
    <comment ref="M93" authorId="0">
      <text>
        <r>
          <rPr>
            <sz val="8"/>
            <color indexed="81"/>
            <rFont val="Tahoma"/>
            <family val="2"/>
          </rPr>
          <t>Leul Tewodros Agonafer — original rating
Source: AAA Top 50!L92
Exact cached text: 7.3939393939393945
Original header: my rating(based on rank)
Preserved, not recomputed. Source annotations are also shown in Source note.</t>
        </r>
      </text>
    </comment>
    <comment ref="M94" authorId="0">
      <text>
        <r>
          <rPr>
            <sz val="8"/>
            <color indexed="81"/>
            <rFont val="Tahoma"/>
            <family val="2"/>
          </rPr>
          <t>Leul Tewodros Agonafer — original rating
Source: AAA Top 50!L93
Exact cached text: 7.3636363636363633
Original header: my rating(based on rank)
Preserved, not recomputed. Source annotations are also shown in Source note.</t>
        </r>
      </text>
    </comment>
    <comment ref="M95" authorId="0">
      <text>
        <r>
          <rPr>
            <sz val="8"/>
            <color indexed="81"/>
            <rFont val="Tahoma"/>
            <family val="2"/>
          </rPr>
          <t>Leul Tewodros Agonafer — original rating
Source: AAA Top 50!L94
Exact cached text: 7.333333333333333
Original header: my rating(based on rank)
Preserved, not recomputed. Source annotations are also shown in Source note.</t>
        </r>
      </text>
    </comment>
    <comment ref="M96" authorId="0">
      <text>
        <r>
          <rPr>
            <sz val="8"/>
            <color indexed="81"/>
            <rFont val="Tahoma"/>
            <family val="2"/>
          </rPr>
          <t>Leul Tewodros Agonafer — original rating
Source: AAA Top 50!L95
Exact cached text: 7.3030303030303028
Original header: my rating(based on rank)
Preserved, not recomputed. Source annotations are also shown in Source note.</t>
        </r>
      </text>
    </comment>
    <comment ref="M97" authorId="0">
      <text>
        <r>
          <rPr>
            <sz val="8"/>
            <color indexed="81"/>
            <rFont val="Tahoma"/>
            <family val="2"/>
          </rPr>
          <t>Leul Tewodros Agonafer — original rating
Source: AAA Top 50!L96
Exact cached text: 7.2727272727272725
Original header: my rating(based on rank)
Preserved, not recomputed. Source annotations are also shown in Source note.</t>
        </r>
      </text>
    </comment>
    <comment ref="M98" authorId="0">
      <text>
        <r>
          <rPr>
            <sz val="8"/>
            <color indexed="81"/>
            <rFont val="Tahoma"/>
            <family val="2"/>
          </rPr>
          <t>Leul Tewodros Agonafer — original rating
Source: AAA Top 50!L97
Exact cached text: 7.2424242424242422
Original header: my rating(based on rank)
Preserved, not recomputed. Source annotations are also shown in Source note.</t>
        </r>
      </text>
    </comment>
    <comment ref="M99" authorId="0">
      <text>
        <r>
          <rPr>
            <sz val="8"/>
            <color indexed="81"/>
            <rFont val="Tahoma"/>
            <family val="2"/>
          </rPr>
          <t>Leul Tewodros Agonafer — original rating
Source: AAA Top 50!L98
Exact cached text: 7.2121212121212119
Original header: my rating(based on rank)
Preserved, not recomputed. Source annotations are also shown in Source note.</t>
        </r>
      </text>
    </comment>
    <comment ref="M100" authorId="0">
      <text>
        <r>
          <rPr>
            <sz val="8"/>
            <color indexed="81"/>
            <rFont val="Tahoma"/>
            <family val="2"/>
          </rPr>
          <t>Leul Tewodros Agonafer — original rating
Source: AAA Top 50!L99
Exact cached text: 7.1818181818181817
Original header: my rating(based on rank)
Preserved, not recomputed. Source annotations are also shown in Source note.</t>
        </r>
      </text>
    </comment>
    <comment ref="M101" authorId="0">
      <text>
        <r>
          <rPr>
            <sz val="8"/>
            <color indexed="81"/>
            <rFont val="Tahoma"/>
            <family val="2"/>
          </rPr>
          <t>Leul Tewodros Agonafer — original rating
Source: AAA Top 50!L100
Exact cached text: 7.1515151515151514
Original header: my rating(based on rank)
Preserved, not recomputed. Source annotations are also shown in Source note.</t>
        </r>
      </text>
    </comment>
    <comment ref="M102" authorId="0">
      <text>
        <r>
          <rPr>
            <sz val="8"/>
            <color indexed="81"/>
            <rFont val="Tahoma"/>
            <family val="2"/>
          </rPr>
          <t>Leul Tewodros Agonafer — original rating
Source: AAA Top 50!L101
Exact cached text: 7.1212121212121211
Original header: my rating(based on rank)
Preserved, not recomputed. Source annotations are also shown in Source note.</t>
        </r>
      </text>
    </comment>
    <comment ref="M103" authorId="0">
      <text>
        <r>
          <rPr>
            <sz val="8"/>
            <color indexed="81"/>
            <rFont val="Tahoma"/>
            <family val="2"/>
          </rPr>
          <t>Leul Tewodros Agonafer — original rating
Source: AAA Top 50!L102
Exact cached text: 7.0909090909090908
Original header: my rating(based on rank)
Preserved, not recomputed. Source annotations are also shown in Source note.</t>
        </r>
      </text>
    </comment>
    <comment ref="M104" authorId="0">
      <text>
        <r>
          <rPr>
            <sz val="8"/>
            <color indexed="81"/>
            <rFont val="Tahoma"/>
            <family val="2"/>
          </rPr>
          <t>Leul Tewodros Agonafer — original rating
Source: AAA Top 50!L103
Exact cached text: 7.0606060606060606
Original header: my rating(based on rank)
Preserved, not recomputed. Source annotations are also shown in Source note.</t>
        </r>
      </text>
    </comment>
    <comment ref="M105" authorId="0">
      <text>
        <r>
          <rPr>
            <sz val="8"/>
            <color indexed="81"/>
            <rFont val="Tahoma"/>
            <family val="2"/>
          </rPr>
          <t>Leul Tewodros Agonafer — original rating
Source: AAA Top 50!L104
Exact cached text: 7.0303030303030303
Original header: my rating(based on rank)
Preserved, not recomputed. Source annotations are also shown in Source note.</t>
        </r>
      </text>
    </comment>
    <comment ref="M106" authorId="0">
      <text>
        <r>
          <rPr>
            <sz val="8"/>
            <color indexed="81"/>
            <rFont val="Tahoma"/>
            <family val="2"/>
          </rPr>
          <t>Leul Tewodros Agonafer — original rating
Source: AAA Top 50!L105
Exact cached text: 7
Original header: my rating(based on rank)
Preserved, not recomputed. Source annotations are also shown in Source note.</t>
        </r>
      </text>
    </comment>
  </commentList>
</comments>
</file>

<file path=xl/sharedStrings.xml><?xml version="1.0" encoding="utf-8"?>
<sst xmlns="http://schemas.openxmlformats.org/spreadsheetml/2006/main" count="1359" uniqueCount="534">
  <si>
    <t>THE 100</t>
  </si>
  <si>
    <t>Curated order, not a critic leaderboard. Core = ranks 1–50 · Essential = ranks 51–100 · Nintendo excluded.</t>
  </si>
  <si>
    <t>← Start Here</t>
  </si>
  <si>
    <t>Chronology →</t>
  </si>
  <si>
    <t>Covers →</t>
  </si>
  <si>
    <t>Methodology →</t>
  </si>
  <si>
    <t>Leul's original rating is copied from his original rank-based column, including rounded/text caches. Critic snapshots stay separate. Rank + Game stay frozen.</t>
  </si>
  <si>
    <t>Red Dead Redemption 2</t>
  </si>
  <si>
    <t>Core</t>
  </si>
  <si>
    <t>Rockstar Games</t>
  </si>
  <si>
    <t>Open-world / Action-Adventure</t>
  </si>
  <si>
    <t>The benchmark blockbuster: world-building, immersion, narrative detail and systemic depth at extraordinary scale.</t>
  </si>
  <si>
    <t>View cover</t>
  </si>
  <si>
    <t>Mass Effect 2</t>
  </si>
  <si>
    <t>BioWare / EA</t>
  </si>
  <si>
    <t>Action RPG / Sci-Fi</t>
  </si>
  <si>
    <t>Elite character-driven sci-fi RPG design; squad relationships and mission structure remain genre-defining.</t>
  </si>
  <si>
    <t>The Witcher 3: Wild Hunt</t>
  </si>
  <si>
    <t>CD Projekt Red</t>
  </si>
  <si>
    <t>Open-world RPG</t>
  </si>
  <si>
    <t>(AI – not played)</t>
  </si>
  <si>
    <t>A landmark open-world RPG with exceptional side quests, world density and long-term reputation.</t>
  </si>
  <si>
    <t>God of War</t>
  </si>
  <si>
    <t>Santa Monica Studio / Sony</t>
  </si>
  <si>
    <t>Action-Adventure</t>
  </si>
  <si>
    <t>Major reinvention of a flagship action series with strong combat, presentation and character writing.</t>
  </si>
  <si>
    <t>The Last of Us</t>
  </si>
  <si>
    <t>Naughty Dog / Sony</t>
  </si>
  <si>
    <t>Action-Adventure / Survival</t>
  </si>
  <si>
    <t>A landmark cinematic action game with unusually strong pacing, performances and environmental storytelling.</t>
  </si>
  <si>
    <t>Grand Theft Auto V</t>
  </si>
  <si>
    <t>One of the defining blockbuster open worlds; huge cultural footprint and exceptional sandbox freedom.</t>
  </si>
  <si>
    <t>Grand Theft Auto IV</t>
  </si>
  <si>
    <t>Massive cultural impact and a more grounded crime-world tone that influenced open-world design.</t>
  </si>
  <si>
    <t>Red Dead Redemption</t>
  </si>
  <si>
    <t>Outstanding western open world and a foundational Rockstar story experience.</t>
  </si>
  <si>
    <t>BioShock</t>
  </si>
  <si>
    <t>2K / Irrational Games</t>
  </si>
  <si>
    <t>FPS / Narrative</t>
  </si>
  <si>
    <t>A landmark AAA shooter/narrative hybrid whose setting, atmosphere and storytelling still stand out.</t>
  </si>
  <si>
    <t>Mass Effect</t>
  </si>
  <si>
    <t>Established BioWare's galaxy-scale RPG formula and the Commander Shepard trilogy foundation.</t>
  </si>
  <si>
    <t>The Elder Scrolls V: Skyrim</t>
  </si>
  <si>
    <t>Bethesda Game Studios</t>
  </si>
  <si>
    <t>Defining open-world fantasy RPG freedom; exploration, modding and scale made it a lasting gateway RPG.</t>
  </si>
  <si>
    <t>Baldur's Gate 3</t>
  </si>
  <si>
    <t>Larian Studios</t>
  </si>
  <si>
    <t>CRPG / RPG</t>
  </si>
  <si>
    <t>A modern RPG landmark for player choice, reactivity, companions, encounter design and systemic freedom.</t>
  </si>
  <si>
    <t>Clair Obscur: Expedition 33</t>
  </si>
  <si>
    <t>Sandfall Interactive / Kepler Interactive</t>
  </si>
  <si>
    <t>Turn-based RPG</t>
  </si>
  <si>
    <t>Exceptional modern RPG breakout: distinctive world, music, story and an innovative turn-based/action hybrid. AAA-caliber presentation despite an indie-sized studio.</t>
  </si>
  <si>
    <t>Batman: Arkham City</t>
  </si>
  <si>
    <t>Rocksteady / WB Games</t>
  </si>
  <si>
    <t>The standout Batman game and a benchmark for open-world superhero action.</t>
  </si>
  <si>
    <t>Elden Ring</t>
  </si>
  <si>
    <t>FromSoftware / Bandai Namco</t>
  </si>
  <si>
    <t>Open-world Action RPG</t>
  </si>
  <si>
    <t>Modern action-RPG landmark with huge exploration freedom and influential world design.</t>
  </si>
  <si>
    <t>Uncharted 4: A Thief's End</t>
  </si>
  <si>
    <t>AAA cinematic adventure polished to an exceptional degree, with superb set pieces and production value.</t>
  </si>
  <si>
    <t>God of War Ragnarök</t>
  </si>
  <si>
    <t>Refined sequel that expands the 2018 formula while delivering some of the strongest modern blockbuster combat.</t>
  </si>
  <si>
    <t>The Last of Us Part II</t>
  </si>
  <si>
    <t>Bold sequel with elite production, combat depth and unusually ambitious storytelling.</t>
  </si>
  <si>
    <t>Grand Theft Auto: San Andreas</t>
  </si>
  <si>
    <t>Rockstar North / Rockstar</t>
  </si>
  <si>
    <t>An enormous cultural landmark and one of the strongest examples of early 3D open-world freedom.</t>
  </si>
  <si>
    <t>Mass Effect 3</t>
  </si>
  <si>
    <t>Excellent RPG systems, companions and galaxy-scale storytelling despite a divisive finale.</t>
  </si>
  <si>
    <t>Fallout 3</t>
  </si>
  <si>
    <t>A foundational modern open-world RPG with exploration, questing and atmosphere still worth experiencing.</t>
  </si>
  <si>
    <t>Baldur's Gate II: Shadows of Amn</t>
  </si>
  <si>
    <t>BioWare / Interplay</t>
  </si>
  <si>
    <t>One of the foundational large-scale RPGs; less modern-looking, but massively important to the genre.</t>
  </si>
  <si>
    <t>Halo 3</t>
  </si>
  <si>
    <t>Bungie / Microsoft</t>
  </si>
  <si>
    <t>FPS</t>
  </si>
  <si>
    <t>One of the defining console FPS campaigns and a major multiplayer-era blockbuster.</t>
  </si>
  <si>
    <t>Portal 2</t>
  </si>
  <si>
    <t>Valve</t>
  </si>
  <si>
    <t>Puzzle / Adventure</t>
  </si>
  <si>
    <t>One of the strongest puzzle/adventure productions ever released by a major studio.</t>
  </si>
  <si>
    <t>Half-Life 2</t>
  </si>
  <si>
    <t>FPS / Action</t>
  </si>
  <si>
    <t>A transformative FPS that reshaped physics, environmental storytelling and immersive level design.</t>
  </si>
  <si>
    <t>Cyberpunk 2077</t>
  </si>
  <si>
    <t>An ambitious, visually striking RPG whose post-launch evolution is important to its legacy.</t>
  </si>
  <si>
    <t>Resident Evil 4</t>
  </si>
  <si>
    <t>Capcom</t>
  </si>
  <si>
    <t>Survival Horror / Action</t>
  </si>
  <si>
    <t>A benchmark survival-horror remake: masterful pacing, encounter design and combat that sharpen an all-time classic.</t>
  </si>
  <si>
    <t>Alan Wake 2</t>
  </si>
  <si>
    <t>Remedy / Epic Games</t>
  </si>
  <si>
    <t>A landmark modern horror production with exceptional audiovisual direction and narrative ambition.</t>
  </si>
  <si>
    <t>Control</t>
  </si>
  <si>
    <t>Remedy / 505 Games</t>
  </si>
  <si>
    <t>Distinctive AAA supernatural action with exceptional atmosphere, art direction and telekinetic combat.</t>
  </si>
  <si>
    <t>Star Wars: Knights of the Old Republic</t>
  </si>
  <si>
    <t>BioWare / LucasArts</t>
  </si>
  <si>
    <t>RPG</t>
  </si>
  <si>
    <t>A landmark licensed RPG with strong writing, choice and world-building.</t>
  </si>
  <si>
    <t>Metal Gear Solid 3: Snake Eater</t>
  </si>
  <si>
    <t>Konami</t>
  </si>
  <si>
    <t>Action / Stealth</t>
  </si>
  <si>
    <t>A landmark stealth blockbuster with exceptional survival mechanics and storytelling.</t>
  </si>
  <si>
    <t>Call of Duty 4: Modern Warfare</t>
  </si>
  <si>
    <t>Infinity Ward / Activision</t>
  </si>
  <si>
    <t>A defining AAA shooter whose campaign, multiplayer and presentation changed the mainstream FPS.</t>
  </si>
  <si>
    <t>Assassin's Creed IV: Black Flag</t>
  </si>
  <si>
    <t>Ubisoft Montreal / Ubisoft</t>
  </si>
  <si>
    <t>Open-world Action-Adventure</t>
  </si>
  <si>
    <t>Combines Assassin's Creed with a highly memorable open-world naval sandbox.</t>
  </si>
  <si>
    <t>Dishonored</t>
  </si>
  <si>
    <t>Arkane / Bethesda</t>
  </si>
  <si>
    <t>Immersive Sim / Action</t>
  </si>
  <si>
    <t>A landmark modern immersive sim with excellent level design and player-driven approaches.</t>
  </si>
  <si>
    <t>The Elder Scrolls IV: Oblivion</t>
  </si>
  <si>
    <t>One of the key early open-world RPGs and a direct ancestor to Skyrim.</t>
  </si>
  <si>
    <t>Halo: Reach</t>
  </si>
  <si>
    <t>Excellent campaign pacing, combat and world-building within the Halo formula.</t>
  </si>
  <si>
    <t>Far Cry 4</t>
  </si>
  <si>
    <t>Open-world FPS</t>
  </si>
  <si>
    <t>Big, polished Ubisoft open world; less groundbreaking than FC3 but still a core AAA shooter experience.</t>
  </si>
  <si>
    <t>Dragon Age: Inquisition</t>
  </si>
  <si>
    <t>A large-scale fantasy RPG that brought BioWare's companions and choices to an expansive 3D world.</t>
  </si>
  <si>
    <t>Metro Exodus</t>
  </si>
  <si>
    <t>4A Games / Deep Silver</t>
  </si>
  <si>
    <t>FPS / Survival</t>
  </si>
  <si>
    <t>Immersive post-apocalyptic FPS design with strong atmosphere, world detail and survival mechanics.</t>
  </si>
  <si>
    <t>Resident Evil 2</t>
  </si>
  <si>
    <t>Survival Horror</t>
  </si>
  <si>
    <t>A near-perfect modern remake of a foundational survival-horror game.</t>
  </si>
  <si>
    <t>Resident Evil Requiem</t>
  </si>
  <si>
    <t>The newest mainline Resident Evil: strong RE Engine horror craft and a well-received return to slower, tenser survival design.</t>
  </si>
  <si>
    <t>Titanfall 2</t>
  </si>
  <si>
    <t>Respawn / EA</t>
  </si>
  <si>
    <t>A standout blockbuster FPS with one of the genre's most praised campaigns and movement systems.</t>
  </si>
  <si>
    <t>Star Wars Battlefront II</t>
  </si>
  <si>
    <t>DICE / EA</t>
  </si>
  <si>
    <t>A visually spectacular Star Wars blockbuster that improved significantly after launch.</t>
  </si>
  <si>
    <t>Sekiro: Shadows Die Twice</t>
  </si>
  <si>
    <t>FromSoftware / Activision</t>
  </si>
  <si>
    <t>Action RPG</t>
  </si>
  <si>
    <t>Masterful precision action design; a modern FromSoftware essential.</t>
  </si>
  <si>
    <t>Bloodborne</t>
  </si>
  <si>
    <t>FromSoftware / Sony</t>
  </si>
  <si>
    <t>A defining PlayStation action RPG with atmosphere, combat and world design that shaped the genre.</t>
  </si>
  <si>
    <t>Grand Theft Auto: Vice City</t>
  </si>
  <si>
    <t>A defining open-world classic whose tone, setting and mission design made it culturally iconic.</t>
  </si>
  <si>
    <t>Star Wars Jedi: Fallen Order</t>
  </si>
  <si>
    <t>A major modern Star Wars single-player revival with Soulslike-inspired combat and blockbuster presentation.</t>
  </si>
  <si>
    <t>Horizon Zero Dawn</t>
  </si>
  <si>
    <t>Guerrilla / Sony</t>
  </si>
  <si>
    <t>A major PS4-era open-world RPG with a distinctive science-fiction setting and strong combat.</t>
  </si>
  <si>
    <t>Horizon Forbidden West</t>
  </si>
  <si>
    <t>Large-scale sequel with expanded combat, exploration and presentation.</t>
  </si>
  <si>
    <t>Ghost of Tsushima</t>
  </si>
  <si>
    <t>Sucker Punch / Sony</t>
  </si>
  <si>
    <t>One of the strongest samurai-themed open worlds, with exceptional art direction and sword combat.</t>
  </si>
  <si>
    <t>DOOM Eternal</t>
  </si>
  <si>
    <t>Essential</t>
  </si>
  <si>
    <t>id Software / Bethesda</t>
  </si>
  <si>
    <t>Pushes modern FPS combat speed and mechanical depth to a remarkable level.</t>
  </si>
  <si>
    <t>Star Wars Jedi: Survivor</t>
  </si>
  <si>
    <t>A major modern Star Wars action-adventure with strong exploration, combat and cinematic production.</t>
  </si>
  <si>
    <t>Death Stranding</t>
  </si>
  <si>
    <t>Kojima Productions / Sony</t>
  </si>
  <si>
    <t>Action / Adventure</t>
  </si>
  <si>
    <t>A singular AAA experiment that became one of the medium's most discussed blockbuster releases.</t>
  </si>
  <si>
    <t>Death Stranding 2: On the Beach</t>
  </si>
  <si>
    <t>A major premium sequel with unusually ambitious production, traversal and cinematic presentation.</t>
  </si>
  <si>
    <t>Final Fantasy VII Remake</t>
  </si>
  <si>
    <t>Square Enix</t>
  </si>
  <si>
    <t>A major modern blockbuster RPG remake with strong combat and iconic characters.</t>
  </si>
  <si>
    <t>Final Fantasy XVI</t>
  </si>
  <si>
    <t>High-production-value fantasy action with spectacular set pieces and a strong cinematic identity.</t>
  </si>
  <si>
    <t>Final Fantasy XV</t>
  </si>
  <si>
    <t>A huge modern Final Fantasy road-trip RPG with a memorable world and blockbuster production.</t>
  </si>
  <si>
    <t>Kingdom Hearts II</t>
  </si>
  <si>
    <t>A major crossover action RPG with enduring mainstream recognition.</t>
  </si>
  <si>
    <t>NieR:Automata</t>
  </si>
  <si>
    <t>PlatinumGames / Square Enix</t>
  </si>
  <si>
    <t>A critically acclaimed action RPG known for philosophical storytelling and inventive structure.</t>
  </si>
  <si>
    <t>Diablo II</t>
  </si>
  <si>
    <t>Blizzard</t>
  </si>
  <si>
    <t>A foundational AAA action RPG with enormous influence on loot-driven game design.</t>
  </si>
  <si>
    <t>Diablo IV</t>
  </si>
  <si>
    <t>A major modern live-service action RPG and one of Blizzard's biggest launches.</t>
  </si>
  <si>
    <t>World of Warcraft</t>
  </si>
  <si>
    <t>MMORPG</t>
  </si>
  <si>
    <t>A defining AAA MMO that reshaped online gaming and gaming culture.</t>
  </si>
  <si>
    <t>StarCraft II: Wings of Liberty</t>
  </si>
  <si>
    <t>RTS</t>
  </si>
  <si>
    <t>One of the definitive modern competitive strategy games with enormous production value and esports impact.</t>
  </si>
  <si>
    <t>Warcraft III: Reign of Chaos</t>
  </si>
  <si>
    <t>A landmark AAA RTS with huge influence on strategy games and custom-map culture.</t>
  </si>
  <si>
    <t>Overwatch</t>
  </si>
  <si>
    <t>Hero Shooter</t>
  </si>
  <si>
    <t>A major modern multiplayer blockbuster with influential character-driven FPS design.</t>
  </si>
  <si>
    <t>Call of Duty: Modern Warfare 2</t>
  </si>
  <si>
    <t>One of the biggest shooter blockbusters of its era with huge cultural impact.</t>
  </si>
  <si>
    <t>Call of Duty: Black Ops</t>
  </si>
  <si>
    <t>Treyarch / Activision</t>
  </si>
  <si>
    <t>A hugely successful shooter with a memorable campaign and influential multiplayer.</t>
  </si>
  <si>
    <t>Call of Duty: Black Ops II</t>
  </si>
  <si>
    <t>A mainstream AAA FPS with branching campaign choices and a major multiplayer legacy.</t>
  </si>
  <si>
    <t>Battlefield 1</t>
  </si>
  <si>
    <t>One of the strongest recent Battlefield entries, with exceptional audiovisual presentation.</t>
  </si>
  <si>
    <t>Battlefield 3</t>
  </si>
  <si>
    <t>A hugely influential modern military shooter and major multiplayer-era blockbuster.</t>
  </si>
  <si>
    <t>Battlefield 4</t>
  </si>
  <si>
    <t>A large-scale multiplayer FPS that remains a core modern Battlefield experience.</t>
  </si>
  <si>
    <t>Metal Gear Solid V: The Phantom Pain</t>
  </si>
  <si>
    <t>Kojima Productions / Konami</t>
  </si>
  <si>
    <t>Open-world Action</t>
  </si>
  <si>
    <t>A technically ambitious open-world stealth game with extraordinary systems and freedom.</t>
  </si>
  <si>
    <t>Hitman: World of Assassination</t>
  </si>
  <si>
    <t>IO Interactive</t>
  </si>
  <si>
    <t>Stealth / Action</t>
  </si>
  <si>
    <t>A modern stealth sandbox with extraordinary systemic freedom and replayability.</t>
  </si>
  <si>
    <t>Dishonored 2</t>
  </si>
  <si>
    <t>Deepens the original's systemic stealth/action sandbox with excellent level design.</t>
  </si>
  <si>
    <t>Prey</t>
  </si>
  <si>
    <t>Immersive Sim / FPS</t>
  </si>
  <si>
    <t>A cult AAA immersive sim with outstanding atmosphere, exploration and systemic problem-solving.</t>
  </si>
  <si>
    <t>The Evil Within 2</t>
  </si>
  <si>
    <t>Tango Gameworks / Bethesda</t>
  </si>
  <si>
    <t>A strong modern survival-horror sequel that balances open exploration and horror.</t>
  </si>
  <si>
    <t>Resident Evil 7: Biohazard</t>
  </si>
  <si>
    <t>A first-person reinvention of Resident Evil that brought major mainstream attention back to horror.</t>
  </si>
  <si>
    <t>Resident Evil 3</t>
  </si>
  <si>
    <t>A polished modern remake with strong presentation, though shorter and less expansive than RE2.</t>
  </si>
  <si>
    <t>Resident Evil Village</t>
  </si>
  <si>
    <t>A blockbuster horror-action hybrid with memorable atmosphere and production.</t>
  </si>
  <si>
    <t>Resident Evil 5</t>
  </si>
  <si>
    <t>Action / Survival Horror</t>
  </si>
  <si>
    <t>A major co-op action title and one of the franchise's most commercially significant releases.</t>
  </si>
  <si>
    <t>Shadow of Mordor</t>
  </si>
  <si>
    <t>Monolith / WB Games</t>
  </si>
  <si>
    <t>Introduced the influential Nemesis system to a mainstream open-world action formula.</t>
  </si>
  <si>
    <t>Middle-earth: Shadow of War</t>
  </si>
  <si>
    <t>Expanded the Nemesis system into a huge open-world action sequel.</t>
  </si>
  <si>
    <t>Hogwarts Legacy</t>
  </si>
  <si>
    <t>Avalanche Software / WB Games</t>
  </si>
  <si>
    <t>A major mainstream fantasy open world with huge audience reach and production scale.</t>
  </si>
  <si>
    <t>Marvel's Spider-Man 2</t>
  </si>
  <si>
    <t>Insomniac / Sony</t>
  </si>
  <si>
    <t>A major superhero sequel with high-end presentation, traversal and combat.</t>
  </si>
  <si>
    <t>Ratchet &amp; Clank: Rift Apart</t>
  </si>
  <si>
    <t>Action-Platformer</t>
  </si>
  <si>
    <t>A showcase of modern AAA platform-action presentation, visuals and seamless world transitions.</t>
  </si>
  <si>
    <t>Returnal</t>
  </si>
  <si>
    <t>Housemarque / Sony</t>
  </si>
  <si>
    <t>Third-person Roguelike Shooter</t>
  </si>
  <si>
    <t>A premium PlayStation action game with demanding combat, atmosphere and exceptional audiovisual production.</t>
  </si>
  <si>
    <t>Deathloop</t>
  </si>
  <si>
    <t>FPS / Immersive Sim</t>
  </si>
  <si>
    <t>An ambitious time-loop immersive sim that earned major critical acclaim.</t>
  </si>
  <si>
    <t>Days Gone</t>
  </si>
  <si>
    <t>Bend Studio / Sony</t>
  </si>
  <si>
    <t>A big-budget open world with strong atmosphere and a persistent motorcycle-focused identity.</t>
  </si>
  <si>
    <t>The Division</t>
  </si>
  <si>
    <t>Massive / Ubisoft</t>
  </si>
  <si>
    <t>Online Action RPG / Shooter</t>
  </si>
  <si>
    <t>A major online AAA shooter built around a detailed recreation of New York.</t>
  </si>
  <si>
    <t>The Division 2</t>
  </si>
  <si>
    <t>A refined looter-shooter with an unusually detailed urban open world.</t>
  </si>
  <si>
    <t>Assassin's Creed Origins</t>
  </si>
  <si>
    <t>A major reboot that shifted Assassin's Creed into a larger RPG framework.</t>
  </si>
  <si>
    <t>Assassin's Creed Odyssey</t>
  </si>
  <si>
    <t>Ubisoft Quebec / Ubisoft</t>
  </si>
  <si>
    <t>A huge ancient-Greece RPG with substantial exploration and choice.</t>
  </si>
  <si>
    <t>Assassin's Creed Valhalla</t>
  </si>
  <si>
    <t>A massive Viking-era open world with extensive questing and exploration.</t>
  </si>
  <si>
    <t>Watch Dogs 2</t>
  </si>
  <si>
    <t>A polished open-world sandbox with strong hacking systems and traversal.</t>
  </si>
  <si>
    <t>Sleeping Dogs</t>
  </si>
  <si>
    <t>United Front Games / Square Enix</t>
  </si>
  <si>
    <t>A highly regarded open-world crime game with standout hand-to-hand combat.</t>
  </si>
  <si>
    <t>Just Cause 3</t>
  </si>
  <si>
    <t>Avalanche Studios / Square Enix</t>
  </si>
  <si>
    <t>A pure blockbuster sandbox built around traversal, destruction and spectacle.</t>
  </si>
  <si>
    <t>Max Payne 3</t>
  </si>
  <si>
    <t>Rockstar Studios / Rockstar Games</t>
  </si>
  <si>
    <t>Third-person Shooter / Action</t>
  </si>
  <si>
    <t>A tightly produced Rockstar blockbuster with excellent shooting, pacing and cinematic presentation.</t>
  </si>
  <si>
    <t>Tomb Raider</t>
  </si>
  <si>
    <t>Crystal Dynamics / Square Enix</t>
  </si>
  <si>
    <t>A major AAA reboot that modernized Lara Croft with strong action, exploration and set pieces.</t>
  </si>
  <si>
    <t>Rise of the Tomb Raider</t>
  </si>
  <si>
    <t>A polished AAA adventure with strong traversal, tomb exploration and cinematic spectacle.</t>
  </si>
  <si>
    <t>L.A. Noire</t>
  </si>
  <si>
    <t>Team Bondi / Rockstar Games</t>
  </si>
  <si>
    <t>Action-Adventure / Detective</t>
  </si>
  <si>
    <t>A distinctive Rockstar-era AAA detective adventure with facial-performance technology and strong atmosphere.</t>
  </si>
  <si>
    <t>Rank</t>
  </si>
  <si>
    <t>Game</t>
  </si>
  <si>
    <t>Tier</t>
  </si>
  <si>
    <t>Year</t>
  </si>
  <si>
    <t>Publisher / Studio</t>
  </si>
  <si>
    <t>Genre</t>
  </si>
  <si>
    <t>Metacritic /100</t>
  </si>
  <si>
    <t>Metacritic PC /100</t>
  </si>
  <si>
    <t>IGN /10</t>
  </si>
  <si>
    <t>GameSpot /10</t>
  </si>
  <si>
    <t>PC Gamer /100</t>
  </si>
  <si>
    <t>Critic average /100</t>
  </si>
  <si>
    <t>Leul's original rating /10</t>
  </si>
  <si>
    <t>Source note</t>
  </si>
  <si>
    <t>Why it ranks here</t>
  </si>
  <si>
    <t>Cover</t>
  </si>
  <si>
    <t>A CHRONOLOGY OF THE COLLECTION</t>
  </si>
  <si>
    <t>All 100 entries, ordered by the source year, then curated rank. These are source years—not independently verified release dates.</t>
  </si>
  <si>
    <t>The 100 →</t>
  </si>
  <si>
    <t>How to read →</t>
  </si>
  <si>
    <t>Ranks stay curated. Critics and Leul's preserved original ratings look up The 100 by rank; links remain correct after sorting.</t>
  </si>
  <si>
    <t>Entry</t>
  </si>
  <si>
    <t>THE COVER GALLERY</t>
  </si>
  <si>
    <t>100 supplied covers · curated order · nine larger Posters images preferred over duplicate thumbnails. Original image bytes are retained.</t>
  </si>
  <si>
    <t>Artwork notes →</t>
  </si>
  <si>
    <t>Representative source artwork, not proof of platform availability or exact edition. Small originals may look soft. Rank 73 uses source art branded HITMAN III.</t>
  </si>
  <si>
    <t>001  Red Dead Redemption 2</t>
  </si>
  <si>
    <t>2018  /  Core</t>
  </si>
  <si>
    <t>002  Mass Effect 2</t>
  </si>
  <si>
    <t>2010  /  Core</t>
  </si>
  <si>
    <t>003  The Witcher 3: Wild Hunt</t>
  </si>
  <si>
    <t>2015  /  Core</t>
  </si>
  <si>
    <t>004  God of War</t>
  </si>
  <si>
    <t>005  The Last of Us</t>
  </si>
  <si>
    <t>2013  /  Core</t>
  </si>
  <si>
    <t>006  Grand Theft Auto V</t>
  </si>
  <si>
    <t>007  Grand Theft Auto IV</t>
  </si>
  <si>
    <t>2008  /  Core</t>
  </si>
  <si>
    <t>008  Red Dead Redemption</t>
  </si>
  <si>
    <t>009  BioShock</t>
  </si>
  <si>
    <t>2007  /  Core</t>
  </si>
  <si>
    <t>010  Mass Effect</t>
  </si>
  <si>
    <t>011  The Elder Scrolls V: Skyrim</t>
  </si>
  <si>
    <t>2011  /  Core</t>
  </si>
  <si>
    <t>012  Baldur's Gate 3</t>
  </si>
  <si>
    <t>2023  /  Core</t>
  </si>
  <si>
    <t>013  Clair Obscur: Expedition 33</t>
  </si>
  <si>
    <t>2025  /  Core</t>
  </si>
  <si>
    <t>014  Batman: Arkham City</t>
  </si>
  <si>
    <t>015  Elden Ring</t>
  </si>
  <si>
    <t>2022  /  Core</t>
  </si>
  <si>
    <t>016  Uncharted 4: A Thief's End</t>
  </si>
  <si>
    <t>2016  /  Core</t>
  </si>
  <si>
    <t>017  God of War Ragnarök</t>
  </si>
  <si>
    <t>018  The Last of Us Part II</t>
  </si>
  <si>
    <t>2020  /  Core</t>
  </si>
  <si>
    <t>019  Grand Theft Auto: San Andreas</t>
  </si>
  <si>
    <t>2004  /  Core</t>
  </si>
  <si>
    <t>020  Mass Effect 3</t>
  </si>
  <si>
    <t>2012  /  Core</t>
  </si>
  <si>
    <t>021  Fallout 3</t>
  </si>
  <si>
    <t>022  Baldur's Gate II: Shadows of Amn</t>
  </si>
  <si>
    <t>2000  /  Core</t>
  </si>
  <si>
    <t>023  Halo 3</t>
  </si>
  <si>
    <t>024  Portal 2</t>
  </si>
  <si>
    <t>025  Half-Life 2</t>
  </si>
  <si>
    <t>026  Cyberpunk 2077</t>
  </si>
  <si>
    <t>027  Resident Evil 4</t>
  </si>
  <si>
    <t>028  Alan Wake 2</t>
  </si>
  <si>
    <t>029  Control</t>
  </si>
  <si>
    <t>2019  /  Core</t>
  </si>
  <si>
    <t>030  Star Wars: Knights of the Old Republic</t>
  </si>
  <si>
    <t>2003  /  Core</t>
  </si>
  <si>
    <t>031  Metal Gear Solid 3: Snake Eater</t>
  </si>
  <si>
    <t>032  Call of Duty 4: Modern Warfare</t>
  </si>
  <si>
    <t>033  Assassin's Creed IV: Black Flag</t>
  </si>
  <si>
    <t>034  Dishonored</t>
  </si>
  <si>
    <t>035  The Elder Scrolls IV: Oblivion</t>
  </si>
  <si>
    <t>2006  /  Core</t>
  </si>
  <si>
    <t>036  Halo: Reach</t>
  </si>
  <si>
    <t>037  Far Cry 4</t>
  </si>
  <si>
    <t>2014  /  Core</t>
  </si>
  <si>
    <t>038  Dragon Age: Inquisition</t>
  </si>
  <si>
    <t>039  Metro Exodus</t>
  </si>
  <si>
    <t>040  Resident Evil 2</t>
  </si>
  <si>
    <t>041  Resident Evil Requiem</t>
  </si>
  <si>
    <t>2026  /  Core</t>
  </si>
  <si>
    <t>042  Titanfall 2</t>
  </si>
  <si>
    <t>043  Star Wars Battlefront II</t>
  </si>
  <si>
    <t>2017  /  Core</t>
  </si>
  <si>
    <t>044  Sekiro: Shadows Die Twice</t>
  </si>
  <si>
    <t>045  Bloodborne</t>
  </si>
  <si>
    <t>046  Grand Theft Auto: Vice City</t>
  </si>
  <si>
    <t>2002  /  Core</t>
  </si>
  <si>
    <t>047  Star Wars Jedi: Fallen Order</t>
  </si>
  <si>
    <t>048  Horizon Zero Dawn</t>
  </si>
  <si>
    <t>049  Horizon Forbidden West</t>
  </si>
  <si>
    <t>050  Ghost of Tsushima</t>
  </si>
  <si>
    <t>051  DOOM Eternal</t>
  </si>
  <si>
    <t>2020  /  Essential</t>
  </si>
  <si>
    <t>052  Star Wars Jedi: Survivor</t>
  </si>
  <si>
    <t>2023  /  Essential</t>
  </si>
  <si>
    <t>053  Death Stranding</t>
  </si>
  <si>
    <t>2019  /  Essential</t>
  </si>
  <si>
    <t>054  Death Stranding 2: On the Beach</t>
  </si>
  <si>
    <t>2025  /  Essential</t>
  </si>
  <si>
    <t>055  Final Fantasy VII Remake</t>
  </si>
  <si>
    <t>056  Final Fantasy XVI</t>
  </si>
  <si>
    <t>057  Final Fantasy XV</t>
  </si>
  <si>
    <t>2016  /  Essential</t>
  </si>
  <si>
    <t>058  Kingdom Hearts II</t>
  </si>
  <si>
    <t>2005  /  Essential</t>
  </si>
  <si>
    <t>059  NieR:Automata</t>
  </si>
  <si>
    <t>2017  /  Essential</t>
  </si>
  <si>
    <t>060  Diablo II</t>
  </si>
  <si>
    <t>2000  /  Essential</t>
  </si>
  <si>
    <t>061  Diablo IV</t>
  </si>
  <si>
    <t>062  World of Warcraft</t>
  </si>
  <si>
    <t>2004  /  Essential</t>
  </si>
  <si>
    <t>063  StarCraft II: Wings of Liberty</t>
  </si>
  <si>
    <t>2010  /  Essential</t>
  </si>
  <si>
    <t>064  Warcraft III: Reign of Chaos</t>
  </si>
  <si>
    <t>2002  /  Essential</t>
  </si>
  <si>
    <t>065  Overwatch</t>
  </si>
  <si>
    <t>066  Call of Duty: Modern Warfare 2</t>
  </si>
  <si>
    <t>2009  /  Essential</t>
  </si>
  <si>
    <t>067  Call of Duty: Black Ops</t>
  </si>
  <si>
    <t>068  Call of Duty: Black Ops II</t>
  </si>
  <si>
    <t>2012  /  Essential</t>
  </si>
  <si>
    <t>069  Battlefield 1</t>
  </si>
  <si>
    <t>070  Battlefield 3</t>
  </si>
  <si>
    <t>2011  /  Essential</t>
  </si>
  <si>
    <t>071  Battlefield 4</t>
  </si>
  <si>
    <t>2013  /  Essential</t>
  </si>
  <si>
    <t>072  Metal Gear Solid V: The Phantom Pain</t>
  </si>
  <si>
    <t>2015  /  Essential</t>
  </si>
  <si>
    <t>073  Hitman: World of Assassination</t>
  </si>
  <si>
    <t>074  Dishonored 2</t>
  </si>
  <si>
    <t>075  Prey</t>
  </si>
  <si>
    <t>076  The Evil Within 2</t>
  </si>
  <si>
    <t>077  Resident Evil 7: Biohazard</t>
  </si>
  <si>
    <t>078  Resident Evil 3</t>
  </si>
  <si>
    <t>079  Resident Evil Village</t>
  </si>
  <si>
    <t>2021  /  Essential</t>
  </si>
  <si>
    <t>080  Resident Evil 5</t>
  </si>
  <si>
    <t>081  Shadow of Mordor</t>
  </si>
  <si>
    <t>2014  /  Essential</t>
  </si>
  <si>
    <t>082  Middle-earth: Shadow of War</t>
  </si>
  <si>
    <t>083  Hogwarts Legacy</t>
  </si>
  <si>
    <t>084  Marvel's Spider-Man 2</t>
  </si>
  <si>
    <t>085  Ratchet &amp; Clank: Rift Apart</t>
  </si>
  <si>
    <t>086  Returnal</t>
  </si>
  <si>
    <t>087  Deathloop</t>
  </si>
  <si>
    <t>088  Days Gone</t>
  </si>
  <si>
    <t>089  The Division</t>
  </si>
  <si>
    <t>090  The Division 2</t>
  </si>
  <si>
    <t>091  Assassin's Creed Origins</t>
  </si>
  <si>
    <t>092  Assassin's Creed Odyssey</t>
  </si>
  <si>
    <t>2018  /  Essential</t>
  </si>
  <si>
    <t>093  Assassin's Creed Valhalla</t>
  </si>
  <si>
    <t>094  Watch Dogs 2</t>
  </si>
  <si>
    <t>095  Sleeping Dogs</t>
  </si>
  <si>
    <t>096  Just Cause 3</t>
  </si>
  <si>
    <t>097  Max Payne 3</t>
  </si>
  <si>
    <t>098  Tomb Raider</t>
  </si>
  <si>
    <t>099  Rise of the Tomb Raider</t>
  </si>
  <si>
    <t>100  L.A. Noire</t>
  </si>
  <si>
    <t>PLAY 100</t>
  </si>
  <si>
    <t>A collection worth making time for.</t>
  </si>
  <si>
    <t>100 essential gaming experiences, in your curated order.
A core 50. A next-essential 50. One collection.</t>
  </si>
  <si>
    <t>01 / RED DEAD REDEMPTION 2</t>
  </si>
  <si>
    <t>100</t>
  </si>
  <si>
    <t>CURATED ENTRIES</t>
  </si>
  <si>
    <t>50 + 50</t>
  </si>
  <si>
    <t>CORE + ESSENTIAL</t>
  </si>
  <si>
    <t>2000–2026</t>
  </si>
  <si>
    <t>SOURCE YEARS</t>
  </si>
  <si>
    <t>SUPPLIED COVERS</t>
  </si>
  <si>
    <t>EXPLORE THE COLLECTION</t>
  </si>
  <si>
    <t>01  THE 100 →</t>
  </si>
  <si>
    <t>Filter by tier, year, studio, genre or score. Rank and Game stay frozen.</t>
  </si>
  <si>
    <t>02  CHRONOLOGY →</t>
  </si>
  <si>
    <t>The full collection ordered by source year, with the curated rank intact.</t>
  </si>
  <si>
    <t>03  COVER GALLERY →</t>
  </si>
  <si>
    <t>Every supplied cover, with a link back to its entry. No downloaded replacements.</t>
  </si>
  <si>
    <t>04  METHODOLOGY →</t>
  </si>
  <si>
    <t>What each number means, what remains unknown, and how the source was reconciled.</t>
  </si>
  <si>
    <t>READ THE NUMBERS CORRECTLY</t>
  </si>
  <si>
    <t>CURATED RANK
The order is the source collection's must-play ranking—not a critic leaderboard.</t>
  </si>
  <si>
    <t>CRITIC SNAPSHOT
Scores retain their native /100 or /10 scales. No current verification or score date is claimed.</t>
  </si>
  <si>
    <t>AVAILABLE, NOT ZERO
Blank critic cells are unknown. Averages skip blanks and normalize /10 entries to /100.</t>
  </si>
  <si>
    <t>LEUL'S ORIGINAL RATING
Leul's rating /10 comes from his original rank-based column. Exact cached values and source notes are preserved.</t>
  </si>
  <si>
    <t>Both Metacritic columns count when entered. The critic average describes available score columns, not independent publications. It supports browsing; it never determines the order.</t>
  </si>
  <si>
    <t>Twelve original ratings explicitly carry Leul's source annotation “(AI – not played)”. The numeric rating and the exact note are both preserved. These historical author notes never set a website visitor's played status.</t>
  </si>
  <si>
    <t>Mainstream AAA / blockbuster / major-publisher flagship games, plus a small number of AAA-caliber premium exceptions that clearly belong in an essential modern-gaming list. Nintendo excluded.</t>
  </si>
  <si>
    <t>SOURCE  /  AAA_games_u_have_to_play_list_top_100.xlsx
The primary list is authoritative. Stale side tables were reconciled; native score entries were not rewritten. See Methodology and artifact-manifest.json for the complete provenance.</t>
  </si>
  <si>
    <t>METHODOLOGY &amp; PROVENANCE</t>
  </si>
  <si>
    <t>An honest guide to the collection, its numbers, its artwork, and its source.</t>
  </si>
  <si>
    <t>01 / SCOPE</t>
  </si>
  <si>
    <t>02 / RANKING</t>
  </si>
  <si>
    <t>Curated must-play ranking, not a raw Metacritic leaderboard. Signals in the source: Critical acclaim, lasting reputation, industry influence, cultural impact, design quality, production ambition and “must-play” status.</t>
  </si>
  <si>
    <t>03 / TIERS</t>
  </si>
  <si>
    <t>Core = ranks 1–50. Essential = ranks 51–100. The division is editorial, not a score cutoff. No source title was added, removed, promoted or demoted.</t>
  </si>
  <si>
    <t>04 / NATIVE SCALES</t>
  </si>
  <si>
    <t>Metacritic, Metacritic PC and PC Gamer use /100. IGN and GameSpot use /10. A blank means no numeric value was entered in the primary snapshot; it never means zero.</t>
  </si>
  <si>
    <t>05 / CRITIC AVERAGE</t>
  </si>
  <si>
    <t>Normalize IGN and GameSpot by multiplying by 10; then average only numeric, available columns. Both Metacritic columns count separately when entered. This is not an average of independent publications and is not the ranking algorithm.</t>
  </si>
  <si>
    <t>06 / LEUL'S ORIGINAL RATING</t>
  </si>
  <si>
    <t>The original column L is headed “my rating(based on rank)”. It contains Leul's own ratings, based on his curated ranking. The original cached values are copied exactly; rounded TEXT results remain rounded (for example The Witcher 3 = 9.9 and Grand Theft Auto IV = 9.8). No formula repairs or reconstructed curve replace those values. This is separate from critic averages and any visitor's private website rating.</t>
  </si>
  <si>
    <t>07 / SOURCE NOTES</t>
  </si>
  <si>
    <t>Twelve author-rating cells contain “(AI – not played)”. Their numeric author rating and original note are both preserved. An absent source note does not establish play history. Historical author notes never set a visitor's Played/Completed state.</t>
  </si>
  <si>
    <t>08 / WHAT IS VERIFIED</t>
  </si>
  <si>
    <t>The extraction, arithmetic, record count, source preservation, formula caches and image mapping were checked. Critic scores, game years, platform editions and release metadata were not independently reverified. No critic snapshot date is known.</t>
  </si>
  <si>
    <t>09 / DATA PRESERVATION</t>
  </si>
  <si>
    <t>Game titles, studios, source years, genres, native critic entries and ranking rationales come from the primary sheet unchanged. Non-AAA premium exceptions already present in the source remain included. JSON genreTags only split the existing genre text at slash separators.</t>
  </si>
  <si>
    <t>10 / FORMULAS</t>
  </si>
  <si>
    <t>The 100 recalculates critic averages from entered columns. Leul's original ratings are fixed copied numbers so recalculation cannot silently rewrite them. Chronology looks up both metrics by rank with matching initial caches. Sorting either table preserves associations. Formula mode is automatic; there are no macros or external workbook links.</t>
  </si>
  <si>
    <t>11 / COVER PROVENANCE</t>
  </si>
  <si>
    <t>109 original embedded images were found: 100 row thumbnails and nine larger gallery posters. For each game, the largest correctly anchored supplied image is reused without altering its bytes. All nine poster labels match exact primary titles. No artwork was fetched, invented or replaced.</t>
  </si>
  <si>
    <t>12 / COVER LIMITATIONS</t>
  </si>
  <si>
    <t>The source is low resolution: 91 selected covers are 120 pixels high; nine are larger. Covers are representative editions and cannot establish platform availability. Rank 73 is titled Hitman: World of Assassination with source year 2016, while its supplied cover is branded HITMAN III. That source naming/edition caveat is retained, not silently corrected.</t>
  </si>
  <si>
    <t>13 / PRIMARY PRESENTATION</t>
  </si>
  <si>
    <t>A malformed average header was replaced with Critic average /100. Leul's original rating ownership is explicit. Rank 7's original cached 9.8 is retained despite its historical hard-coded formula; no author value is repaired or recalculated. The tier divider is not a game. Columns N and O contained no additional source data.</t>
  </si>
  <si>
    <t>14 / DERIVATIVE REPAIRS</t>
  </si>
  <si>
    <t>Sortable Ratings had 100 entries but displayed all 56 missing primary critic values as zeros through direct-cell-reference caches. It is replaced by the native, filterable The 100 table with real blanks. All other cached sortable values agreed with the primary list.</t>
  </si>
  <si>
    <t>15 / CHRONOLOGY REPAIR</t>
  </si>
  <si>
    <t>The old Timeline contained 100 titles across two side-by-side blocks—not 50 total. It had 61 stale ranks among matching titles, 25 missing years and 24 missing tier cells. It retained Crysis and Metal Gear Solid V: Ground Zeroes, omitted Resident Evil 4 and Resident Evil Requiem, and is now rebuilt exclusively from the 100 primary records.</t>
  </si>
  <si>
    <t>16 / METHODOLOGY REPAIR</t>
  </si>
  <si>
    <t>Six entries in the old Methodology top-ten side table disagreed with the primary ordering. That duplicate ranking has been removed. The primary source order—not the stale side table or a critic-score sort—is used everywhere.</t>
  </si>
  <si>
    <t>17 / REPRODUCIBILITY</t>
  </si>
  <si>
    <t>collection.json is the static canonical data for this download. generate_collection.py and requirements.txt reproduce the artifacts from the original workbook; test_collection.py checks them. The manifest and source-audit.json retain exact discrepancies, selected image hashes and extraction evidence. Editing a downloaded workbook does not automatically update the separate JSON.</t>
  </si>
  <si>
    <t>18 / SOURCE IDENTITY</t>
  </si>
  <si>
    <t>AAA_games_u_have_to_play_list_top_100.xlsx
SHA-256: 301043fb513209b129586f617f1d205526c3c61785c48182760cf1aacaf29143
The original attachment is never modified. Generated document timestamps are omitted: no document or critic verification date is invented.</t>
  </si>
  <si>
    <t>Curated by Leul Tewodros Agonafer</t>
  </si>
  <si>
    <t>GitHub · LeulTew/play-100</t>
  </si>
  <si>
    <t>LinkedIn · Leul Tewodros Agonafer</t>
  </si>
  <si>
    <t>Telegram · @fabbin</t>
  </si>
</sst>
</file>

<file path=xl/styles.xml><?xml version="1.0" encoding="utf-8"?>
<styleSheet xmlns="http://schemas.openxmlformats.org/spreadsheetml/2006/main">
  <numFmts count="1">
    <numFmt numFmtId="164" formatCode="0.0"/>
  </numFmts>
  <fonts count="26">
    <font>
      <sz val="11"/>
      <color theme="1"/>
      <name val="Calibri"/>
      <family val="2"/>
      <scheme val="minor"/>
    </font>
    <font>
      <sz val="11"/>
      <color rgb="FF1D2921"/>
      <name val="Aptos"/>
      <family val="2"/>
    </font>
    <font>
      <b/>
      <sz val="44"/>
      <color rgb="FFF8F7F0"/>
      <name val="Aptos"/>
      <family val="2"/>
    </font>
    <font>
      <sz val="11"/>
      <color rgb="FFF8F7F0"/>
      <name val="Aptos"/>
      <family val="2"/>
    </font>
    <font>
      <sz val="19"/>
      <color rgb="FFF8F7F0"/>
      <name val="Aptos"/>
      <family val="2"/>
    </font>
    <font>
      <sz val="13"/>
      <color rgb="FFC8D2C4"/>
      <name val="Aptos"/>
      <family val="2"/>
    </font>
    <font>
      <b/>
      <sz val="10"/>
      <color rgb="FFD3EA82"/>
      <name val="Aptos"/>
      <family val="2"/>
    </font>
    <font>
      <b/>
      <sz val="25"/>
      <color rgb="FF1D2921"/>
      <name val="Aptos"/>
      <family val="2"/>
    </font>
    <font>
      <b/>
      <sz val="9"/>
      <color rgb="FF536355"/>
      <name val="Aptos"/>
      <family val="2"/>
    </font>
    <font>
      <b/>
      <sz val="12"/>
      <color rgb="FF354919"/>
      <name val="Aptos"/>
      <family val="2"/>
    </font>
    <font>
      <b/>
      <u/>
      <sz val="13"/>
      <color rgb="FFD3EA82"/>
      <name val="Aptos"/>
      <family val="2"/>
    </font>
    <font>
      <sz val="11"/>
      <color rgb="FF536355"/>
      <name val="Aptos"/>
      <family val="2"/>
    </font>
    <font>
      <sz val="10"/>
      <color rgb="FF3B4B3D"/>
      <name val="Aptos"/>
      <family val="2"/>
    </font>
    <font>
      <sz val="10"/>
      <color rgb="FF536355"/>
      <name val="Aptos"/>
      <family val="2"/>
    </font>
    <font>
      <sz val="9"/>
      <color rgb="FF536355"/>
      <name val="Aptos"/>
      <family val="2"/>
    </font>
    <font>
      <u/>
      <sz val="10"/>
      <color rgb="FF354919"/>
      <name val="Aptos"/>
      <family val="2"/>
    </font>
    <font>
      <b/>
      <sz val="32"/>
      <color rgb="FFF8F7F0"/>
      <name val="Aptos"/>
      <family val="2"/>
    </font>
    <font>
      <b/>
      <u/>
      <sz val="11"/>
      <color rgb="FF354919"/>
      <name val="Aptos"/>
      <family val="2"/>
    </font>
    <font>
      <b/>
      <sz val="10"/>
      <color rgb="FFF8F7F0"/>
      <name val="Aptos"/>
      <family val="2"/>
    </font>
    <font>
      <b/>
      <sz val="14"/>
      <color rgb="FF354919"/>
      <name val="Aptos"/>
      <family val="2"/>
    </font>
    <font>
      <b/>
      <sz val="11"/>
      <color rgb="FF1D2921"/>
      <name val="Aptos"/>
      <family val="2"/>
    </font>
    <font>
      <b/>
      <sz val="10"/>
      <color rgb="FF354919"/>
      <name val="Aptos"/>
      <family val="2"/>
    </font>
    <font>
      <sz val="10"/>
      <color rgb="FF354919"/>
      <name val="Aptos"/>
      <family val="2"/>
    </font>
    <font>
      <b/>
      <sz val="12"/>
      <color rgb="FFF8F7F0"/>
      <name val="Aptos"/>
      <family val="2"/>
    </font>
    <font>
      <sz val="11"/>
      <color rgb="FF3B4B3D"/>
      <name val="Aptos"/>
      <family val="2"/>
    </font>
    <font>
      <sz val="8"/>
      <color indexed="81"/>
      <name val="Tahoma"/>
      <family val="2"/>
    </font>
  </fonts>
  <fills count="6">
    <fill>
      <patternFill patternType="none"/>
    </fill>
    <fill>
      <patternFill patternType="gray125"/>
    </fill>
    <fill>
      <patternFill patternType="solid">
        <fgColor rgb="FFF8F7F0"/>
        <bgColor indexed="64"/>
      </patternFill>
    </fill>
    <fill>
      <patternFill patternType="solid">
        <fgColor rgb="FF18211C"/>
        <bgColor indexed="64"/>
      </patternFill>
    </fill>
    <fill>
      <patternFill patternType="solid">
        <fgColor rgb="FFF3F4ED"/>
        <bgColor indexed="64"/>
      </patternFill>
    </fill>
    <fill>
      <patternFill patternType="solid">
        <fgColor rgb="FFEAEDE3"/>
        <bgColor indexed="64"/>
      </patternFill>
    </fill>
  </fills>
  <borders count="3">
    <border>
      <left/>
      <right/>
      <top/>
      <bottom/>
      <diagonal/>
    </border>
    <border>
      <left/>
      <right/>
      <top/>
      <bottom style="medium">
        <color rgb="FFD3EA82"/>
      </bottom>
      <diagonal/>
    </border>
    <border>
      <left/>
      <right/>
      <top/>
      <bottom style="thin">
        <color rgb="FFCBD3C3"/>
      </bottom>
      <diagonal/>
    </border>
  </borders>
  <cellStyleXfs count="1">
    <xf numFmtId="0" fontId="0" fillId="0" borderId="0"/>
  </cellStyleXfs>
  <cellXfs count="44">
    <xf numFmtId="0" fontId="0" fillId="0" borderId="0" xfId="0"/>
    <xf numFmtId="0" fontId="1" fillId="2" borderId="0" xfId="0" applyFont="1" applyFill="1" applyAlignment="1">
      <alignment vertical="center"/>
    </xf>
    <xf numFmtId="0" fontId="2" fillId="3" borderId="0" xfId="0" applyFont="1" applyFill="1" applyAlignment="1">
      <alignment vertical="center"/>
    </xf>
    <xf numFmtId="0" fontId="3" fillId="3" borderId="0" xfId="0" applyFont="1" applyFill="1" applyAlignment="1">
      <alignment vertical="center"/>
    </xf>
    <xf numFmtId="0" fontId="4" fillId="3" borderId="0" xfId="0" applyFont="1" applyFill="1" applyAlignment="1">
      <alignment vertical="center" wrapText="1"/>
    </xf>
    <xf numFmtId="0" fontId="5" fillId="3" borderId="0" xfId="0" applyFont="1" applyFill="1" applyAlignment="1">
      <alignment vertical="center" wrapText="1"/>
    </xf>
    <xf numFmtId="0" fontId="6" fillId="3" borderId="0" xfId="0" applyFont="1" applyFill="1" applyAlignment="1">
      <alignment vertical="center"/>
    </xf>
    <xf numFmtId="0" fontId="7" fillId="4" borderId="0" xfId="0" applyFont="1" applyFill="1" applyAlignment="1">
      <alignment horizontal="center" vertical="center"/>
    </xf>
    <xf numFmtId="0" fontId="8" fillId="4" borderId="0" xfId="0" applyFont="1" applyFill="1" applyAlignment="1">
      <alignment horizontal="center" vertical="center"/>
    </xf>
    <xf numFmtId="0" fontId="9" fillId="2" borderId="0" xfId="0" applyFont="1" applyFill="1" applyAlignment="1">
      <alignment vertical="center"/>
    </xf>
    <xf numFmtId="0" fontId="10" fillId="3" borderId="0" xfId="0" applyFont="1" applyFill="1" applyAlignment="1">
      <alignment vertical="center"/>
    </xf>
    <xf numFmtId="0" fontId="1" fillId="3" borderId="0" xfId="0" applyFont="1" applyFill="1" applyAlignment="1">
      <alignment vertical="center"/>
    </xf>
    <xf numFmtId="0" fontId="11" fillId="4" borderId="0" xfId="0" applyFont="1" applyFill="1" applyAlignment="1">
      <alignment vertical="center" wrapText="1"/>
    </xf>
    <xf numFmtId="0" fontId="12" fillId="2" borderId="0" xfId="0" applyFont="1" applyFill="1" applyAlignment="1">
      <alignment vertical="top" wrapText="1"/>
    </xf>
    <xf numFmtId="0" fontId="11" fillId="2" borderId="0" xfId="0" applyFont="1" applyFill="1" applyAlignment="1">
      <alignment vertical="center" wrapText="1"/>
    </xf>
    <xf numFmtId="0" fontId="13" fillId="2" borderId="0" xfId="0" applyFont="1" applyFill="1" applyAlignment="1">
      <alignment vertical="center" wrapText="1"/>
    </xf>
    <xf numFmtId="0" fontId="14" fillId="2" borderId="0" xfId="0" applyFont="1" applyFill="1" applyAlignment="1">
      <alignment vertical="center" wrapText="1"/>
    </xf>
    <xf numFmtId="0" fontId="15" fillId="4" borderId="0" xfId="0" applyFont="1" applyFill="1" applyAlignment="1">
      <alignment vertical="center" wrapText="1"/>
    </xf>
    <xf numFmtId="0" fontId="16" fillId="3" borderId="0" xfId="0" applyFont="1" applyFill="1" applyAlignment="1">
      <alignment vertical="center"/>
    </xf>
    <xf numFmtId="0" fontId="17" fillId="2" borderId="0" xfId="0" applyFont="1" applyFill="1" applyAlignment="1">
      <alignment vertical="center"/>
    </xf>
    <xf numFmtId="0" fontId="18" fillId="3" borderId="1" xfId="0" applyFont="1" applyFill="1" applyBorder="1" applyAlignment="1">
      <alignment vertical="center" wrapText="1"/>
    </xf>
    <xf numFmtId="1" fontId="19" fillId="4" borderId="2" xfId="0" applyNumberFormat="1" applyFont="1" applyFill="1" applyBorder="1" applyAlignment="1">
      <alignment horizontal="center" vertical="center" wrapText="1"/>
    </xf>
    <xf numFmtId="0" fontId="20" fillId="4" borderId="2" xfId="0" applyFont="1" applyFill="1" applyBorder="1" applyAlignment="1">
      <alignment vertical="center" wrapText="1"/>
    </xf>
    <xf numFmtId="0" fontId="21" fillId="4" borderId="2" xfId="0" applyFont="1" applyFill="1" applyBorder="1" applyAlignment="1">
      <alignment horizontal="center" vertical="center" wrapText="1"/>
    </xf>
    <xf numFmtId="1" fontId="1" fillId="4" borderId="2" xfId="0" applyNumberFormat="1" applyFont="1" applyFill="1" applyBorder="1" applyAlignment="1">
      <alignment horizontal="center" vertical="center" wrapText="1"/>
    </xf>
    <xf numFmtId="0" fontId="1" fillId="4" borderId="2" xfId="0" applyFont="1" applyFill="1" applyBorder="1" applyAlignment="1">
      <alignment vertical="center" wrapText="1"/>
    </xf>
    <xf numFmtId="164" fontId="1" fillId="4" borderId="2" xfId="0" applyNumberFormat="1" applyFont="1" applyFill="1" applyBorder="1" applyAlignment="1">
      <alignment horizontal="center" vertical="center" wrapText="1"/>
    </xf>
    <xf numFmtId="0" fontId="22" fillId="4" borderId="2" xfId="0" applyFont="1" applyFill="1" applyBorder="1" applyAlignment="1">
      <alignment vertical="center" wrapText="1"/>
    </xf>
    <xf numFmtId="0" fontId="15" fillId="4" borderId="2" xfId="0" applyFont="1" applyFill="1" applyBorder="1" applyAlignment="1">
      <alignment vertical="center" wrapText="1"/>
    </xf>
    <xf numFmtId="1" fontId="19" fillId="5" borderId="2" xfId="0" applyNumberFormat="1" applyFont="1" applyFill="1" applyBorder="1" applyAlignment="1">
      <alignment horizontal="center" vertical="center" wrapText="1"/>
    </xf>
    <xf numFmtId="0" fontId="20" fillId="5" borderId="2" xfId="0" applyFont="1" applyFill="1" applyBorder="1" applyAlignment="1">
      <alignment vertical="center" wrapText="1"/>
    </xf>
    <xf numFmtId="0" fontId="21" fillId="5" borderId="2" xfId="0" applyFont="1" applyFill="1" applyBorder="1" applyAlignment="1">
      <alignment horizontal="center" vertical="center" wrapText="1"/>
    </xf>
    <xf numFmtId="1" fontId="1" fillId="5" borderId="2" xfId="0" applyNumberFormat="1" applyFont="1" applyFill="1" applyBorder="1" applyAlignment="1">
      <alignment horizontal="center" vertical="center" wrapText="1"/>
    </xf>
    <xf numFmtId="0" fontId="1" fillId="5" borderId="2" xfId="0" applyFont="1" applyFill="1" applyBorder="1" applyAlignment="1">
      <alignment vertical="center" wrapText="1"/>
    </xf>
    <xf numFmtId="164" fontId="1" fillId="5" borderId="2" xfId="0" applyNumberFormat="1" applyFont="1" applyFill="1" applyBorder="1" applyAlignment="1">
      <alignment horizontal="center" vertical="center" wrapText="1"/>
    </xf>
    <xf numFmtId="0" fontId="22" fillId="5" borderId="2" xfId="0" applyFont="1" applyFill="1" applyBorder="1" applyAlignment="1">
      <alignment vertical="center" wrapText="1"/>
    </xf>
    <xf numFmtId="0" fontId="15" fillId="5" borderId="2" xfId="0" applyFont="1" applyFill="1" applyBorder="1" applyAlignment="1">
      <alignment vertical="center" wrapText="1"/>
    </xf>
    <xf numFmtId="0" fontId="12" fillId="4"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23" fillId="3" borderId="0" xfId="0" applyFont="1" applyFill="1" applyAlignment="1">
      <alignment vertical="top" wrapText="1"/>
    </xf>
    <xf numFmtId="0" fontId="1" fillId="4" borderId="0" xfId="0" applyFont="1" applyFill="1" applyAlignment="1">
      <alignment vertical="center"/>
    </xf>
    <xf numFmtId="0" fontId="13" fillId="4" borderId="0" xfId="0" applyFont="1" applyFill="1" applyAlignment="1">
      <alignment vertical="center" wrapText="1"/>
    </xf>
    <xf numFmtId="0" fontId="21" fillId="2" borderId="0" xfId="0" applyFont="1" applyFill="1" applyAlignment="1">
      <alignment vertical="top" wrapText="1"/>
    </xf>
    <xf numFmtId="0" fontId="24" fillId="4" borderId="0" xfId="0" applyFont="1" applyFill="1" applyAlignment="1">
      <alignment vertical="top" wrapText="1"/>
    </xf>
  </cellXfs>
  <cellStyles count="1">
    <cellStyle name="Normal" xfId="0" builtinId="0"/>
  </cellStyles>
  <dxfs count="3">
    <dxf>
      <font>
        <color rgb="FF354919"/>
      </font>
      <fill>
        <patternFill>
          <bgColor rgb="FFEBF2D6"/>
        </patternFill>
      </fill>
    </dxf>
    <dxf>
      <border>
        <left/>
        <right/>
        <top/>
        <bottom style="medium">
          <color rgb="FFD3EA82"/>
        </bottom>
        <vertical/>
        <horizontal/>
      </border>
    </dxf>
    <dxf>
      <border>
        <left/>
        <right/>
        <top style="medium">
          <color rgb="FF89988A"/>
        </top>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s>
</file>

<file path=xl/drawings/drawing1.xml><?xml version="1.0" encoding="utf-8"?>
<xdr:wsDr xmlns:xdr="http://schemas.openxmlformats.org/drawingml/2006/spreadsheetDrawing" xmlns:a="http://schemas.openxmlformats.org/drawingml/2006/main">
  <xdr:twoCellAnchor editAs="oneCell">
    <xdr:from>
      <xdr:col>11</xdr:col>
      <xdr:colOff>161925</xdr:colOff>
      <xdr:row>0</xdr:row>
      <xdr:rowOff>114300</xdr:rowOff>
    </xdr:from>
    <xdr:to>
      <xdr:col>14</xdr:col>
      <xdr:colOff>42219</xdr:colOff>
      <xdr:row>7</xdr:row>
      <xdr:rowOff>9525</xdr:rowOff>
    </xdr:to>
    <xdr:pic>
      <xdr:nvPicPr>
        <xdr:cNvPr id="2" name="Picture 1" descr="Rank 1 — Red Dead Redemption 2, user-provided cover"/>
        <xdr:cNvPicPr>
          <a:picLocks noChangeAspect="1"/>
        </xdr:cNvPicPr>
      </xdr:nvPicPr>
      <xdr:blipFill>
        <a:blip xmlns:r="http://schemas.openxmlformats.org/officeDocument/2006/relationships" r:embed="rId1"/>
        <a:stretch>
          <a:fillRect/>
        </a:stretch>
      </xdr:blipFill>
      <xdr:spPr>
        <a:xfrm>
          <a:off x="6972300" y="114300"/>
          <a:ext cx="1737669" cy="2143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542925</xdr:colOff>
      <xdr:row>9</xdr:row>
      <xdr:rowOff>19050</xdr:rowOff>
    </xdr:from>
    <xdr:to>
      <xdr:col>3</xdr:col>
      <xdr:colOff>27803</xdr:colOff>
      <xdr:row>14</xdr:row>
      <xdr:rowOff>200025</xdr:rowOff>
    </xdr:to>
    <xdr:pic>
      <xdr:nvPicPr>
        <xdr:cNvPr id="2" name="Picture 1" descr="Red Dead Redemption 2 — user-provided workbook cover"/>
        <xdr:cNvPicPr>
          <a:picLocks noChangeAspect="1"/>
        </xdr:cNvPicPr>
      </xdr:nvPicPr>
      <xdr:blipFill>
        <a:blip xmlns:r="http://schemas.openxmlformats.org/officeDocument/2006/relationships" r:embed="rId1"/>
        <a:stretch>
          <a:fillRect/>
        </a:stretch>
      </xdr:blipFill>
      <xdr:spPr>
        <a:xfrm>
          <a:off x="542925" y="2828925"/>
          <a:ext cx="1227953" cy="1514475"/>
        </a:xfrm>
        <a:prstGeom prst="rect">
          <a:avLst/>
        </a:prstGeom>
      </xdr:spPr>
    </xdr:pic>
    <xdr:clientData/>
  </xdr:twoCellAnchor>
  <xdr:twoCellAnchor>
    <xdr:from>
      <xdr:col>6</xdr:col>
      <xdr:colOff>57150</xdr:colOff>
      <xdr:row>9</xdr:row>
      <xdr:rowOff>19050</xdr:rowOff>
    </xdr:from>
    <xdr:to>
      <xdr:col>7</xdr:col>
      <xdr:colOff>522997</xdr:colOff>
      <xdr:row>14</xdr:row>
      <xdr:rowOff>200025</xdr:rowOff>
    </xdr:to>
    <xdr:pic>
      <xdr:nvPicPr>
        <xdr:cNvPr id="3" name="Picture 2" descr="Mass Effect 2 — user-provided workbook cover"/>
        <xdr:cNvPicPr>
          <a:picLocks noChangeAspect="1"/>
        </xdr:cNvPicPr>
      </xdr:nvPicPr>
      <xdr:blipFill>
        <a:blip xmlns:r="http://schemas.openxmlformats.org/officeDocument/2006/relationships" r:embed="rId2"/>
        <a:stretch>
          <a:fillRect/>
        </a:stretch>
      </xdr:blipFill>
      <xdr:spPr>
        <a:xfrm>
          <a:off x="3543300" y="2828925"/>
          <a:ext cx="1046872" cy="1514475"/>
        </a:xfrm>
        <a:prstGeom prst="rect">
          <a:avLst/>
        </a:prstGeom>
      </xdr:spPr>
    </xdr:pic>
    <xdr:clientData/>
  </xdr:twoCellAnchor>
  <xdr:twoCellAnchor>
    <xdr:from>
      <xdr:col>11</xdr:col>
      <xdr:colOff>76200</xdr:colOff>
      <xdr:row>9</xdr:row>
      <xdr:rowOff>19050</xdr:rowOff>
    </xdr:from>
    <xdr:to>
      <xdr:col>12</xdr:col>
      <xdr:colOff>504825</xdr:colOff>
      <xdr:row>14</xdr:row>
      <xdr:rowOff>200025</xdr:rowOff>
    </xdr:to>
    <xdr:pic>
      <xdr:nvPicPr>
        <xdr:cNvPr id="4" name="Picture 3" descr="The Witcher 3: Wild Hunt — user-provided workbook cover"/>
        <xdr:cNvPicPr>
          <a:picLocks noChangeAspect="1"/>
        </xdr:cNvPicPr>
      </xdr:nvPicPr>
      <xdr:blipFill>
        <a:blip xmlns:r="http://schemas.openxmlformats.org/officeDocument/2006/relationships" r:embed="rId3"/>
        <a:stretch>
          <a:fillRect/>
        </a:stretch>
      </xdr:blipFill>
      <xdr:spPr>
        <a:xfrm>
          <a:off x="6467475" y="2828925"/>
          <a:ext cx="1009650" cy="1514475"/>
        </a:xfrm>
        <a:prstGeom prst="rect">
          <a:avLst/>
        </a:prstGeom>
      </xdr:spPr>
    </xdr:pic>
    <xdr:clientData/>
  </xdr:twoCellAnchor>
  <xdr:twoCellAnchor>
    <xdr:from>
      <xdr:col>16</xdr:col>
      <xdr:colOff>9525</xdr:colOff>
      <xdr:row>9</xdr:row>
      <xdr:rowOff>19050</xdr:rowOff>
    </xdr:from>
    <xdr:to>
      <xdr:col>17</xdr:col>
      <xdr:colOff>564356</xdr:colOff>
      <xdr:row>14</xdr:row>
      <xdr:rowOff>200025</xdr:rowOff>
    </xdr:to>
    <xdr:pic>
      <xdr:nvPicPr>
        <xdr:cNvPr id="5" name="Picture 4" descr="God of War — user-provided workbook cover"/>
        <xdr:cNvPicPr>
          <a:picLocks noChangeAspect="1"/>
        </xdr:cNvPicPr>
      </xdr:nvPicPr>
      <xdr:blipFill>
        <a:blip xmlns:r="http://schemas.openxmlformats.org/officeDocument/2006/relationships" r:embed="rId4"/>
        <a:stretch>
          <a:fillRect/>
        </a:stretch>
      </xdr:blipFill>
      <xdr:spPr>
        <a:xfrm>
          <a:off x="9305925" y="2828925"/>
          <a:ext cx="1135856" cy="1514475"/>
        </a:xfrm>
        <a:prstGeom prst="rect">
          <a:avLst/>
        </a:prstGeom>
      </xdr:spPr>
    </xdr:pic>
    <xdr:clientData/>
  </xdr:twoCellAnchor>
  <xdr:twoCellAnchor>
    <xdr:from>
      <xdr:col>1</xdr:col>
      <xdr:colOff>9525</xdr:colOff>
      <xdr:row>21</xdr:row>
      <xdr:rowOff>19050</xdr:rowOff>
    </xdr:from>
    <xdr:to>
      <xdr:col>2</xdr:col>
      <xdr:colOff>570064</xdr:colOff>
      <xdr:row>26</xdr:row>
      <xdr:rowOff>200025</xdr:rowOff>
    </xdr:to>
    <xdr:pic>
      <xdr:nvPicPr>
        <xdr:cNvPr id="6" name="Picture 5" descr="The Last of Us — user-provided workbook cover"/>
        <xdr:cNvPicPr>
          <a:picLocks noChangeAspect="1"/>
        </xdr:cNvPicPr>
      </xdr:nvPicPr>
      <xdr:blipFill>
        <a:blip xmlns:r="http://schemas.openxmlformats.org/officeDocument/2006/relationships" r:embed="rId5"/>
        <a:stretch>
          <a:fillRect/>
        </a:stretch>
      </xdr:blipFill>
      <xdr:spPr>
        <a:xfrm>
          <a:off x="590550" y="6029325"/>
          <a:ext cx="1141564" cy="1514475"/>
        </a:xfrm>
        <a:prstGeom prst="rect">
          <a:avLst/>
        </a:prstGeom>
      </xdr:spPr>
    </xdr:pic>
    <xdr:clientData/>
  </xdr:twoCellAnchor>
  <xdr:twoCellAnchor>
    <xdr:from>
      <xdr:col>5</xdr:col>
      <xdr:colOff>542925</xdr:colOff>
      <xdr:row>21</xdr:row>
      <xdr:rowOff>19050</xdr:rowOff>
    </xdr:from>
    <xdr:to>
      <xdr:col>8</xdr:col>
      <xdr:colOff>27803</xdr:colOff>
      <xdr:row>26</xdr:row>
      <xdr:rowOff>200025</xdr:rowOff>
    </xdr:to>
    <xdr:pic>
      <xdr:nvPicPr>
        <xdr:cNvPr id="7" name="Picture 6" descr="Grand Theft Auto V — user-provided workbook cover"/>
        <xdr:cNvPicPr>
          <a:picLocks noChangeAspect="1"/>
        </xdr:cNvPicPr>
      </xdr:nvPicPr>
      <xdr:blipFill>
        <a:blip xmlns:r="http://schemas.openxmlformats.org/officeDocument/2006/relationships" r:embed="rId6"/>
        <a:stretch>
          <a:fillRect/>
        </a:stretch>
      </xdr:blipFill>
      <xdr:spPr>
        <a:xfrm>
          <a:off x="3448050" y="6029325"/>
          <a:ext cx="1227953" cy="1514475"/>
        </a:xfrm>
        <a:prstGeom prst="rect">
          <a:avLst/>
        </a:prstGeom>
      </xdr:spPr>
    </xdr:pic>
    <xdr:clientData/>
  </xdr:twoCellAnchor>
  <xdr:twoCellAnchor>
    <xdr:from>
      <xdr:col>10</xdr:col>
      <xdr:colOff>552450</xdr:colOff>
      <xdr:row>21</xdr:row>
      <xdr:rowOff>19050</xdr:rowOff>
    </xdr:from>
    <xdr:to>
      <xdr:col>13</xdr:col>
      <xdr:colOff>20955</xdr:colOff>
      <xdr:row>26</xdr:row>
      <xdr:rowOff>200025</xdr:rowOff>
    </xdr:to>
    <xdr:pic>
      <xdr:nvPicPr>
        <xdr:cNvPr id="8" name="Picture 7" descr="Grand Theft Auto IV — user-provided workbook cover"/>
        <xdr:cNvPicPr>
          <a:picLocks noChangeAspect="1"/>
        </xdr:cNvPicPr>
      </xdr:nvPicPr>
      <xdr:blipFill>
        <a:blip xmlns:r="http://schemas.openxmlformats.org/officeDocument/2006/relationships" r:embed="rId7"/>
        <a:stretch>
          <a:fillRect/>
        </a:stretch>
      </xdr:blipFill>
      <xdr:spPr>
        <a:xfrm>
          <a:off x="6362700" y="6029325"/>
          <a:ext cx="1211580" cy="1514475"/>
        </a:xfrm>
        <a:prstGeom prst="rect">
          <a:avLst/>
        </a:prstGeom>
      </xdr:spPr>
    </xdr:pic>
    <xdr:clientData/>
  </xdr:twoCellAnchor>
  <xdr:twoCellAnchor>
    <xdr:from>
      <xdr:col>15</xdr:col>
      <xdr:colOff>542925</xdr:colOff>
      <xdr:row>21</xdr:row>
      <xdr:rowOff>19050</xdr:rowOff>
    </xdr:from>
    <xdr:to>
      <xdr:col>18</xdr:col>
      <xdr:colOff>24051</xdr:colOff>
      <xdr:row>26</xdr:row>
      <xdr:rowOff>200025</xdr:rowOff>
    </xdr:to>
    <xdr:pic>
      <xdr:nvPicPr>
        <xdr:cNvPr id="9" name="Picture 8" descr="Red Dead Redemption — user-provided workbook cover"/>
        <xdr:cNvPicPr>
          <a:picLocks noChangeAspect="1"/>
        </xdr:cNvPicPr>
      </xdr:nvPicPr>
      <xdr:blipFill>
        <a:blip xmlns:r="http://schemas.openxmlformats.org/officeDocument/2006/relationships" r:embed="rId8"/>
        <a:stretch>
          <a:fillRect/>
        </a:stretch>
      </xdr:blipFill>
      <xdr:spPr>
        <a:xfrm>
          <a:off x="9258300" y="6029325"/>
          <a:ext cx="1224201" cy="1514475"/>
        </a:xfrm>
        <a:prstGeom prst="rect">
          <a:avLst/>
        </a:prstGeom>
      </xdr:spPr>
    </xdr:pic>
    <xdr:clientData/>
  </xdr:twoCellAnchor>
  <xdr:twoCellAnchor>
    <xdr:from>
      <xdr:col>0</xdr:col>
      <xdr:colOff>542925</xdr:colOff>
      <xdr:row>33</xdr:row>
      <xdr:rowOff>19050</xdr:rowOff>
    </xdr:from>
    <xdr:to>
      <xdr:col>3</xdr:col>
      <xdr:colOff>21201</xdr:colOff>
      <xdr:row>38</xdr:row>
      <xdr:rowOff>200025</xdr:rowOff>
    </xdr:to>
    <xdr:pic>
      <xdr:nvPicPr>
        <xdr:cNvPr id="10" name="Picture 9" descr="BioShock — user-provided workbook cover"/>
        <xdr:cNvPicPr>
          <a:picLocks noChangeAspect="1"/>
        </xdr:cNvPicPr>
      </xdr:nvPicPr>
      <xdr:blipFill>
        <a:blip xmlns:r="http://schemas.openxmlformats.org/officeDocument/2006/relationships" r:embed="rId9"/>
        <a:stretch>
          <a:fillRect/>
        </a:stretch>
      </xdr:blipFill>
      <xdr:spPr>
        <a:xfrm>
          <a:off x="542925" y="9229725"/>
          <a:ext cx="1221351" cy="1514475"/>
        </a:xfrm>
        <a:prstGeom prst="rect">
          <a:avLst/>
        </a:prstGeom>
      </xdr:spPr>
    </xdr:pic>
    <xdr:clientData/>
  </xdr:twoCellAnchor>
  <xdr:twoCellAnchor>
    <xdr:from>
      <xdr:col>6</xdr:col>
      <xdr:colOff>38100</xdr:colOff>
      <xdr:row>33</xdr:row>
      <xdr:rowOff>19050</xdr:rowOff>
    </xdr:from>
    <xdr:to>
      <xdr:col>7</xdr:col>
      <xdr:colOff>529828</xdr:colOff>
      <xdr:row>38</xdr:row>
      <xdr:rowOff>200025</xdr:rowOff>
    </xdr:to>
    <xdr:pic>
      <xdr:nvPicPr>
        <xdr:cNvPr id="11" name="Picture 10" descr="Mass Effect — user-provided workbook cover"/>
        <xdr:cNvPicPr>
          <a:picLocks noChangeAspect="1"/>
        </xdr:cNvPicPr>
      </xdr:nvPicPr>
      <xdr:blipFill>
        <a:blip xmlns:r="http://schemas.openxmlformats.org/officeDocument/2006/relationships" r:embed="rId10"/>
        <a:stretch>
          <a:fillRect/>
        </a:stretch>
      </xdr:blipFill>
      <xdr:spPr>
        <a:xfrm>
          <a:off x="3524250" y="9229725"/>
          <a:ext cx="1072753" cy="1514475"/>
        </a:xfrm>
        <a:prstGeom prst="rect">
          <a:avLst/>
        </a:prstGeom>
      </xdr:spPr>
    </xdr:pic>
    <xdr:clientData/>
  </xdr:twoCellAnchor>
  <xdr:twoCellAnchor>
    <xdr:from>
      <xdr:col>11</xdr:col>
      <xdr:colOff>19050</xdr:colOff>
      <xdr:row>33</xdr:row>
      <xdr:rowOff>19050</xdr:rowOff>
    </xdr:from>
    <xdr:to>
      <xdr:col>12</xdr:col>
      <xdr:colOff>548640</xdr:colOff>
      <xdr:row>38</xdr:row>
      <xdr:rowOff>200025</xdr:rowOff>
    </xdr:to>
    <xdr:pic>
      <xdr:nvPicPr>
        <xdr:cNvPr id="12" name="Picture 11" descr="The Elder Scrolls V: Skyrim — user-provided workbook cover"/>
        <xdr:cNvPicPr>
          <a:picLocks noChangeAspect="1"/>
        </xdr:cNvPicPr>
      </xdr:nvPicPr>
      <xdr:blipFill>
        <a:blip xmlns:r="http://schemas.openxmlformats.org/officeDocument/2006/relationships" r:embed="rId11"/>
        <a:stretch>
          <a:fillRect/>
        </a:stretch>
      </xdr:blipFill>
      <xdr:spPr>
        <a:xfrm>
          <a:off x="6410325" y="9229725"/>
          <a:ext cx="1110615" cy="1514475"/>
        </a:xfrm>
        <a:prstGeom prst="rect">
          <a:avLst/>
        </a:prstGeom>
      </xdr:spPr>
    </xdr:pic>
    <xdr:clientData/>
  </xdr:twoCellAnchor>
  <xdr:twoCellAnchor>
    <xdr:from>
      <xdr:col>16</xdr:col>
      <xdr:colOff>76200</xdr:colOff>
      <xdr:row>33</xdr:row>
      <xdr:rowOff>19050</xdr:rowOff>
    </xdr:from>
    <xdr:to>
      <xdr:col>17</xdr:col>
      <xdr:colOff>504825</xdr:colOff>
      <xdr:row>38</xdr:row>
      <xdr:rowOff>200025</xdr:rowOff>
    </xdr:to>
    <xdr:pic>
      <xdr:nvPicPr>
        <xdr:cNvPr id="13" name="Picture 12" descr="Baldur's Gate 3 — user-provided workbook cover"/>
        <xdr:cNvPicPr>
          <a:picLocks noChangeAspect="1"/>
        </xdr:cNvPicPr>
      </xdr:nvPicPr>
      <xdr:blipFill>
        <a:blip xmlns:r="http://schemas.openxmlformats.org/officeDocument/2006/relationships" r:embed="rId12"/>
        <a:stretch>
          <a:fillRect/>
        </a:stretch>
      </xdr:blipFill>
      <xdr:spPr>
        <a:xfrm>
          <a:off x="9372600" y="9229725"/>
          <a:ext cx="1009650" cy="1514475"/>
        </a:xfrm>
        <a:prstGeom prst="rect">
          <a:avLst/>
        </a:prstGeom>
      </xdr:spPr>
    </xdr:pic>
    <xdr:clientData/>
  </xdr:twoCellAnchor>
  <xdr:twoCellAnchor>
    <xdr:from>
      <xdr:col>1</xdr:col>
      <xdr:colOff>9525</xdr:colOff>
      <xdr:row>45</xdr:row>
      <xdr:rowOff>19050</xdr:rowOff>
    </xdr:from>
    <xdr:to>
      <xdr:col>2</xdr:col>
      <xdr:colOff>553110</xdr:colOff>
      <xdr:row>50</xdr:row>
      <xdr:rowOff>200025</xdr:rowOff>
    </xdr:to>
    <xdr:pic>
      <xdr:nvPicPr>
        <xdr:cNvPr id="14" name="Picture 13" descr="Clair Obscur: Expedition 33 — user-provided workbook cover"/>
        <xdr:cNvPicPr>
          <a:picLocks noChangeAspect="1"/>
        </xdr:cNvPicPr>
      </xdr:nvPicPr>
      <xdr:blipFill>
        <a:blip xmlns:r="http://schemas.openxmlformats.org/officeDocument/2006/relationships" r:embed="rId13"/>
        <a:stretch>
          <a:fillRect/>
        </a:stretch>
      </xdr:blipFill>
      <xdr:spPr>
        <a:xfrm>
          <a:off x="590550" y="12430125"/>
          <a:ext cx="1124610" cy="1514475"/>
        </a:xfrm>
        <a:prstGeom prst="rect">
          <a:avLst/>
        </a:prstGeom>
      </xdr:spPr>
    </xdr:pic>
    <xdr:clientData/>
  </xdr:twoCellAnchor>
  <xdr:twoCellAnchor>
    <xdr:from>
      <xdr:col>6</xdr:col>
      <xdr:colOff>38100</xdr:colOff>
      <xdr:row>45</xdr:row>
      <xdr:rowOff>19050</xdr:rowOff>
    </xdr:from>
    <xdr:to>
      <xdr:col>7</xdr:col>
      <xdr:colOff>542449</xdr:colOff>
      <xdr:row>50</xdr:row>
      <xdr:rowOff>200025</xdr:rowOff>
    </xdr:to>
    <xdr:pic>
      <xdr:nvPicPr>
        <xdr:cNvPr id="15" name="Picture 14" descr="Batman: Arkham City — user-provided workbook cover"/>
        <xdr:cNvPicPr>
          <a:picLocks noChangeAspect="1"/>
        </xdr:cNvPicPr>
      </xdr:nvPicPr>
      <xdr:blipFill>
        <a:blip xmlns:r="http://schemas.openxmlformats.org/officeDocument/2006/relationships" r:embed="rId14"/>
        <a:stretch>
          <a:fillRect/>
        </a:stretch>
      </xdr:blipFill>
      <xdr:spPr>
        <a:xfrm>
          <a:off x="3524250" y="12430125"/>
          <a:ext cx="1085374" cy="1514475"/>
        </a:xfrm>
        <a:prstGeom prst="rect">
          <a:avLst/>
        </a:prstGeom>
      </xdr:spPr>
    </xdr:pic>
    <xdr:clientData/>
  </xdr:twoCellAnchor>
  <xdr:twoCellAnchor>
    <xdr:from>
      <xdr:col>11</xdr:col>
      <xdr:colOff>9525</xdr:colOff>
      <xdr:row>45</xdr:row>
      <xdr:rowOff>19050</xdr:rowOff>
    </xdr:from>
    <xdr:to>
      <xdr:col>12</xdr:col>
      <xdr:colOff>564356</xdr:colOff>
      <xdr:row>50</xdr:row>
      <xdr:rowOff>200025</xdr:rowOff>
    </xdr:to>
    <xdr:pic>
      <xdr:nvPicPr>
        <xdr:cNvPr id="16" name="Picture 15" descr="Elden Ring — user-provided workbook cover"/>
        <xdr:cNvPicPr>
          <a:picLocks noChangeAspect="1"/>
        </xdr:cNvPicPr>
      </xdr:nvPicPr>
      <xdr:blipFill>
        <a:blip xmlns:r="http://schemas.openxmlformats.org/officeDocument/2006/relationships" r:embed="rId15"/>
        <a:stretch>
          <a:fillRect/>
        </a:stretch>
      </xdr:blipFill>
      <xdr:spPr>
        <a:xfrm>
          <a:off x="6400800" y="12430125"/>
          <a:ext cx="1135856" cy="1514475"/>
        </a:xfrm>
        <a:prstGeom prst="rect">
          <a:avLst/>
        </a:prstGeom>
      </xdr:spPr>
    </xdr:pic>
    <xdr:clientData/>
  </xdr:twoCellAnchor>
  <xdr:twoCellAnchor>
    <xdr:from>
      <xdr:col>16</xdr:col>
      <xdr:colOff>0</xdr:colOff>
      <xdr:row>45</xdr:row>
      <xdr:rowOff>19050</xdr:rowOff>
    </xdr:from>
    <xdr:to>
      <xdr:col>17</xdr:col>
      <xdr:colOff>567452</xdr:colOff>
      <xdr:row>50</xdr:row>
      <xdr:rowOff>200025</xdr:rowOff>
    </xdr:to>
    <xdr:pic>
      <xdr:nvPicPr>
        <xdr:cNvPr id="17" name="Picture 16" descr="Uncharted 4: A Thief's End — user-provided workbook cover"/>
        <xdr:cNvPicPr>
          <a:picLocks noChangeAspect="1"/>
        </xdr:cNvPicPr>
      </xdr:nvPicPr>
      <xdr:blipFill>
        <a:blip xmlns:r="http://schemas.openxmlformats.org/officeDocument/2006/relationships" r:embed="rId16"/>
        <a:stretch>
          <a:fillRect/>
        </a:stretch>
      </xdr:blipFill>
      <xdr:spPr>
        <a:xfrm>
          <a:off x="9296400" y="12430125"/>
          <a:ext cx="1148477" cy="1514475"/>
        </a:xfrm>
        <a:prstGeom prst="rect">
          <a:avLst/>
        </a:prstGeom>
      </xdr:spPr>
    </xdr:pic>
    <xdr:clientData/>
  </xdr:twoCellAnchor>
  <xdr:twoCellAnchor>
    <xdr:from>
      <xdr:col>0</xdr:col>
      <xdr:colOff>542925</xdr:colOff>
      <xdr:row>57</xdr:row>
      <xdr:rowOff>19050</xdr:rowOff>
    </xdr:from>
    <xdr:to>
      <xdr:col>3</xdr:col>
      <xdr:colOff>36671</xdr:colOff>
      <xdr:row>62</xdr:row>
      <xdr:rowOff>200025</xdr:rowOff>
    </xdr:to>
    <xdr:pic>
      <xdr:nvPicPr>
        <xdr:cNvPr id="18" name="Picture 17" descr="God of War Ragnarök — user-provided workbook cover"/>
        <xdr:cNvPicPr>
          <a:picLocks noChangeAspect="1"/>
        </xdr:cNvPicPr>
      </xdr:nvPicPr>
      <xdr:blipFill>
        <a:blip xmlns:r="http://schemas.openxmlformats.org/officeDocument/2006/relationships" r:embed="rId17"/>
        <a:stretch>
          <a:fillRect/>
        </a:stretch>
      </xdr:blipFill>
      <xdr:spPr>
        <a:xfrm>
          <a:off x="542925" y="15630525"/>
          <a:ext cx="1236821" cy="1514475"/>
        </a:xfrm>
        <a:prstGeom prst="rect">
          <a:avLst/>
        </a:prstGeom>
      </xdr:spPr>
    </xdr:pic>
    <xdr:clientData/>
  </xdr:twoCellAnchor>
  <xdr:twoCellAnchor>
    <xdr:from>
      <xdr:col>6</xdr:col>
      <xdr:colOff>9525</xdr:colOff>
      <xdr:row>57</xdr:row>
      <xdr:rowOff>19050</xdr:rowOff>
    </xdr:from>
    <xdr:to>
      <xdr:col>7</xdr:col>
      <xdr:colOff>564356</xdr:colOff>
      <xdr:row>62</xdr:row>
      <xdr:rowOff>200025</xdr:rowOff>
    </xdr:to>
    <xdr:pic>
      <xdr:nvPicPr>
        <xdr:cNvPr id="19" name="Picture 18" descr="The Last of Us Part II — user-provided workbook cover"/>
        <xdr:cNvPicPr>
          <a:picLocks noChangeAspect="1"/>
        </xdr:cNvPicPr>
      </xdr:nvPicPr>
      <xdr:blipFill>
        <a:blip xmlns:r="http://schemas.openxmlformats.org/officeDocument/2006/relationships" r:embed="rId18"/>
        <a:stretch>
          <a:fillRect/>
        </a:stretch>
      </xdr:blipFill>
      <xdr:spPr>
        <a:xfrm>
          <a:off x="3495675" y="15630525"/>
          <a:ext cx="1135856" cy="1514475"/>
        </a:xfrm>
        <a:prstGeom prst="rect">
          <a:avLst/>
        </a:prstGeom>
      </xdr:spPr>
    </xdr:pic>
    <xdr:clientData/>
  </xdr:twoCellAnchor>
  <xdr:twoCellAnchor>
    <xdr:from>
      <xdr:col>10</xdr:col>
      <xdr:colOff>542925</xdr:colOff>
      <xdr:row>57</xdr:row>
      <xdr:rowOff>19050</xdr:rowOff>
    </xdr:from>
    <xdr:to>
      <xdr:col>13</xdr:col>
      <xdr:colOff>24051</xdr:colOff>
      <xdr:row>62</xdr:row>
      <xdr:rowOff>200025</xdr:rowOff>
    </xdr:to>
    <xdr:pic>
      <xdr:nvPicPr>
        <xdr:cNvPr id="20" name="Picture 19" descr="Grand Theft Auto: San Andreas — user-provided workbook cover"/>
        <xdr:cNvPicPr>
          <a:picLocks noChangeAspect="1"/>
        </xdr:cNvPicPr>
      </xdr:nvPicPr>
      <xdr:blipFill>
        <a:blip xmlns:r="http://schemas.openxmlformats.org/officeDocument/2006/relationships" r:embed="rId19"/>
        <a:stretch>
          <a:fillRect/>
        </a:stretch>
      </xdr:blipFill>
      <xdr:spPr>
        <a:xfrm>
          <a:off x="6353175" y="15630525"/>
          <a:ext cx="1224201" cy="1514475"/>
        </a:xfrm>
        <a:prstGeom prst="rect">
          <a:avLst/>
        </a:prstGeom>
      </xdr:spPr>
    </xdr:pic>
    <xdr:clientData/>
  </xdr:twoCellAnchor>
  <xdr:twoCellAnchor>
    <xdr:from>
      <xdr:col>16</xdr:col>
      <xdr:colOff>28575</xdr:colOff>
      <xdr:row>57</xdr:row>
      <xdr:rowOff>19050</xdr:rowOff>
    </xdr:from>
    <xdr:to>
      <xdr:col>17</xdr:col>
      <xdr:colOff>545544</xdr:colOff>
      <xdr:row>62</xdr:row>
      <xdr:rowOff>200025</xdr:rowOff>
    </xdr:to>
    <xdr:pic>
      <xdr:nvPicPr>
        <xdr:cNvPr id="21" name="Picture 20" descr="Mass Effect 3 — user-provided workbook cover"/>
        <xdr:cNvPicPr>
          <a:picLocks noChangeAspect="1"/>
        </xdr:cNvPicPr>
      </xdr:nvPicPr>
      <xdr:blipFill>
        <a:blip xmlns:r="http://schemas.openxmlformats.org/officeDocument/2006/relationships" r:embed="rId20"/>
        <a:stretch>
          <a:fillRect/>
        </a:stretch>
      </xdr:blipFill>
      <xdr:spPr>
        <a:xfrm>
          <a:off x="9324975" y="15630525"/>
          <a:ext cx="1097994" cy="1514475"/>
        </a:xfrm>
        <a:prstGeom prst="rect">
          <a:avLst/>
        </a:prstGeom>
      </xdr:spPr>
    </xdr:pic>
    <xdr:clientData/>
  </xdr:twoCellAnchor>
  <xdr:twoCellAnchor>
    <xdr:from>
      <xdr:col>1</xdr:col>
      <xdr:colOff>123825</xdr:colOff>
      <xdr:row>69</xdr:row>
      <xdr:rowOff>19050</xdr:rowOff>
    </xdr:from>
    <xdr:to>
      <xdr:col>2</xdr:col>
      <xdr:colOff>451485</xdr:colOff>
      <xdr:row>74</xdr:row>
      <xdr:rowOff>200025</xdr:rowOff>
    </xdr:to>
    <xdr:pic>
      <xdr:nvPicPr>
        <xdr:cNvPr id="22" name="Picture 21" descr="Fallout 3 — user-provided workbook cover"/>
        <xdr:cNvPicPr>
          <a:picLocks noChangeAspect="1"/>
        </xdr:cNvPicPr>
      </xdr:nvPicPr>
      <xdr:blipFill>
        <a:blip xmlns:r="http://schemas.openxmlformats.org/officeDocument/2006/relationships" r:embed="rId21"/>
        <a:stretch>
          <a:fillRect/>
        </a:stretch>
      </xdr:blipFill>
      <xdr:spPr>
        <a:xfrm>
          <a:off x="704850" y="18830925"/>
          <a:ext cx="908685" cy="1514475"/>
        </a:xfrm>
        <a:prstGeom prst="rect">
          <a:avLst/>
        </a:prstGeom>
      </xdr:spPr>
    </xdr:pic>
    <xdr:clientData/>
  </xdr:twoCellAnchor>
  <xdr:twoCellAnchor>
    <xdr:from>
      <xdr:col>6</xdr:col>
      <xdr:colOff>0</xdr:colOff>
      <xdr:row>69</xdr:row>
      <xdr:rowOff>19050</xdr:rowOff>
    </xdr:from>
    <xdr:to>
      <xdr:col>7</xdr:col>
      <xdr:colOff>580072</xdr:colOff>
      <xdr:row>74</xdr:row>
      <xdr:rowOff>200025</xdr:rowOff>
    </xdr:to>
    <xdr:pic>
      <xdr:nvPicPr>
        <xdr:cNvPr id="23" name="Picture 22" descr="Baldur's Gate II: Shadows of Amn — user-provided workbook cover"/>
        <xdr:cNvPicPr>
          <a:picLocks noChangeAspect="1"/>
        </xdr:cNvPicPr>
      </xdr:nvPicPr>
      <xdr:blipFill>
        <a:blip xmlns:r="http://schemas.openxmlformats.org/officeDocument/2006/relationships" r:embed="rId22"/>
        <a:stretch>
          <a:fillRect/>
        </a:stretch>
      </xdr:blipFill>
      <xdr:spPr>
        <a:xfrm>
          <a:off x="3486150" y="18830925"/>
          <a:ext cx="1161098" cy="1514475"/>
        </a:xfrm>
        <a:prstGeom prst="rect">
          <a:avLst/>
        </a:prstGeom>
      </xdr:spPr>
    </xdr:pic>
    <xdr:clientData/>
  </xdr:twoCellAnchor>
  <xdr:twoCellAnchor>
    <xdr:from>
      <xdr:col>10</xdr:col>
      <xdr:colOff>561975</xdr:colOff>
      <xdr:row>69</xdr:row>
      <xdr:rowOff>19050</xdr:rowOff>
    </xdr:from>
    <xdr:to>
      <xdr:col>13</xdr:col>
      <xdr:colOff>17859</xdr:colOff>
      <xdr:row>74</xdr:row>
      <xdr:rowOff>200025</xdr:rowOff>
    </xdr:to>
    <xdr:pic>
      <xdr:nvPicPr>
        <xdr:cNvPr id="24" name="Picture 23" descr="Halo 3 — user-provided workbook cover"/>
        <xdr:cNvPicPr>
          <a:picLocks noChangeAspect="1"/>
        </xdr:cNvPicPr>
      </xdr:nvPicPr>
      <xdr:blipFill>
        <a:blip xmlns:r="http://schemas.openxmlformats.org/officeDocument/2006/relationships" r:embed="rId23"/>
        <a:stretch>
          <a:fillRect/>
        </a:stretch>
      </xdr:blipFill>
      <xdr:spPr>
        <a:xfrm>
          <a:off x="6372225" y="18830925"/>
          <a:ext cx="1198959" cy="1514475"/>
        </a:xfrm>
        <a:prstGeom prst="rect">
          <a:avLst/>
        </a:prstGeom>
      </xdr:spPr>
    </xdr:pic>
    <xdr:clientData/>
  </xdr:twoCellAnchor>
  <xdr:twoCellAnchor>
    <xdr:from>
      <xdr:col>16</xdr:col>
      <xdr:colOff>76200</xdr:colOff>
      <xdr:row>69</xdr:row>
      <xdr:rowOff>19050</xdr:rowOff>
    </xdr:from>
    <xdr:to>
      <xdr:col>17</xdr:col>
      <xdr:colOff>504825</xdr:colOff>
      <xdr:row>74</xdr:row>
      <xdr:rowOff>200025</xdr:rowOff>
    </xdr:to>
    <xdr:pic>
      <xdr:nvPicPr>
        <xdr:cNvPr id="25" name="Picture 24" descr="Portal 2 — user-provided workbook cover"/>
        <xdr:cNvPicPr>
          <a:picLocks noChangeAspect="1"/>
        </xdr:cNvPicPr>
      </xdr:nvPicPr>
      <xdr:blipFill>
        <a:blip xmlns:r="http://schemas.openxmlformats.org/officeDocument/2006/relationships" r:embed="rId24"/>
        <a:stretch>
          <a:fillRect/>
        </a:stretch>
      </xdr:blipFill>
      <xdr:spPr>
        <a:xfrm>
          <a:off x="9372600" y="18830925"/>
          <a:ext cx="1009650" cy="1514475"/>
        </a:xfrm>
        <a:prstGeom prst="rect">
          <a:avLst/>
        </a:prstGeom>
      </xdr:spPr>
    </xdr:pic>
    <xdr:clientData/>
  </xdr:twoCellAnchor>
  <xdr:twoCellAnchor>
    <xdr:from>
      <xdr:col>1</xdr:col>
      <xdr:colOff>28575</xdr:colOff>
      <xdr:row>81</xdr:row>
      <xdr:rowOff>19050</xdr:rowOff>
    </xdr:from>
    <xdr:to>
      <xdr:col>2</xdr:col>
      <xdr:colOff>545544</xdr:colOff>
      <xdr:row>86</xdr:row>
      <xdr:rowOff>200025</xdr:rowOff>
    </xdr:to>
    <xdr:pic>
      <xdr:nvPicPr>
        <xdr:cNvPr id="26" name="Picture 25" descr="Half-Life 2 — user-provided workbook cover"/>
        <xdr:cNvPicPr>
          <a:picLocks noChangeAspect="1"/>
        </xdr:cNvPicPr>
      </xdr:nvPicPr>
      <xdr:blipFill>
        <a:blip xmlns:r="http://schemas.openxmlformats.org/officeDocument/2006/relationships" r:embed="rId25"/>
        <a:stretch>
          <a:fillRect/>
        </a:stretch>
      </xdr:blipFill>
      <xdr:spPr>
        <a:xfrm>
          <a:off x="609600" y="22031325"/>
          <a:ext cx="1097994" cy="1514475"/>
        </a:xfrm>
        <a:prstGeom prst="rect">
          <a:avLst/>
        </a:prstGeom>
      </xdr:spPr>
    </xdr:pic>
    <xdr:clientData/>
  </xdr:twoCellAnchor>
  <xdr:twoCellAnchor>
    <xdr:from>
      <xdr:col>5</xdr:col>
      <xdr:colOff>514350</xdr:colOff>
      <xdr:row>81</xdr:row>
      <xdr:rowOff>19050</xdr:rowOff>
    </xdr:from>
    <xdr:to>
      <xdr:col>8</xdr:col>
      <xdr:colOff>58579</xdr:colOff>
      <xdr:row>86</xdr:row>
      <xdr:rowOff>200025</xdr:rowOff>
    </xdr:to>
    <xdr:pic>
      <xdr:nvPicPr>
        <xdr:cNvPr id="27" name="Picture 26" descr="Cyberpunk 2077 — user-provided workbook cover"/>
        <xdr:cNvPicPr>
          <a:picLocks noChangeAspect="1"/>
        </xdr:cNvPicPr>
      </xdr:nvPicPr>
      <xdr:blipFill>
        <a:blip xmlns:r="http://schemas.openxmlformats.org/officeDocument/2006/relationships" r:embed="rId26"/>
        <a:stretch>
          <a:fillRect/>
        </a:stretch>
      </xdr:blipFill>
      <xdr:spPr>
        <a:xfrm>
          <a:off x="3419475" y="22031325"/>
          <a:ext cx="1287304" cy="1514475"/>
        </a:xfrm>
        <a:prstGeom prst="rect">
          <a:avLst/>
        </a:prstGeom>
      </xdr:spPr>
    </xdr:pic>
    <xdr:clientData/>
  </xdr:twoCellAnchor>
  <xdr:twoCellAnchor>
    <xdr:from>
      <xdr:col>11</xdr:col>
      <xdr:colOff>76200</xdr:colOff>
      <xdr:row>81</xdr:row>
      <xdr:rowOff>19050</xdr:rowOff>
    </xdr:from>
    <xdr:to>
      <xdr:col>12</xdr:col>
      <xdr:colOff>504825</xdr:colOff>
      <xdr:row>86</xdr:row>
      <xdr:rowOff>200025</xdr:rowOff>
    </xdr:to>
    <xdr:pic>
      <xdr:nvPicPr>
        <xdr:cNvPr id="28" name="Picture 27" descr="Resident Evil 4 — user-provided workbook cover"/>
        <xdr:cNvPicPr>
          <a:picLocks noChangeAspect="1"/>
        </xdr:cNvPicPr>
      </xdr:nvPicPr>
      <xdr:blipFill>
        <a:blip xmlns:r="http://schemas.openxmlformats.org/officeDocument/2006/relationships" r:embed="rId27"/>
        <a:stretch>
          <a:fillRect/>
        </a:stretch>
      </xdr:blipFill>
      <xdr:spPr>
        <a:xfrm>
          <a:off x="6467475" y="22031325"/>
          <a:ext cx="1009650" cy="1514475"/>
        </a:xfrm>
        <a:prstGeom prst="rect">
          <a:avLst/>
        </a:prstGeom>
      </xdr:spPr>
    </xdr:pic>
    <xdr:clientData/>
  </xdr:twoCellAnchor>
  <xdr:twoCellAnchor>
    <xdr:from>
      <xdr:col>16</xdr:col>
      <xdr:colOff>9525</xdr:colOff>
      <xdr:row>81</xdr:row>
      <xdr:rowOff>19050</xdr:rowOff>
    </xdr:from>
    <xdr:to>
      <xdr:col>17</xdr:col>
      <xdr:colOff>564356</xdr:colOff>
      <xdr:row>86</xdr:row>
      <xdr:rowOff>200025</xdr:rowOff>
    </xdr:to>
    <xdr:pic>
      <xdr:nvPicPr>
        <xdr:cNvPr id="29" name="Picture 28" descr="Alan Wake 2 — user-provided workbook cover"/>
        <xdr:cNvPicPr>
          <a:picLocks noChangeAspect="1"/>
        </xdr:cNvPicPr>
      </xdr:nvPicPr>
      <xdr:blipFill>
        <a:blip xmlns:r="http://schemas.openxmlformats.org/officeDocument/2006/relationships" r:embed="rId28"/>
        <a:stretch>
          <a:fillRect/>
        </a:stretch>
      </xdr:blipFill>
      <xdr:spPr>
        <a:xfrm>
          <a:off x="9305925" y="22031325"/>
          <a:ext cx="1135856" cy="1514475"/>
        </a:xfrm>
        <a:prstGeom prst="rect">
          <a:avLst/>
        </a:prstGeom>
      </xdr:spPr>
    </xdr:pic>
    <xdr:clientData/>
  </xdr:twoCellAnchor>
  <xdr:twoCellAnchor>
    <xdr:from>
      <xdr:col>1</xdr:col>
      <xdr:colOff>9525</xdr:colOff>
      <xdr:row>93</xdr:row>
      <xdr:rowOff>19050</xdr:rowOff>
    </xdr:from>
    <xdr:to>
      <xdr:col>2</xdr:col>
      <xdr:colOff>564356</xdr:colOff>
      <xdr:row>98</xdr:row>
      <xdr:rowOff>200025</xdr:rowOff>
    </xdr:to>
    <xdr:pic>
      <xdr:nvPicPr>
        <xdr:cNvPr id="30" name="Picture 29" descr="Control — user-provided workbook cover"/>
        <xdr:cNvPicPr>
          <a:picLocks noChangeAspect="1"/>
        </xdr:cNvPicPr>
      </xdr:nvPicPr>
      <xdr:blipFill>
        <a:blip xmlns:r="http://schemas.openxmlformats.org/officeDocument/2006/relationships" r:embed="rId29"/>
        <a:stretch>
          <a:fillRect/>
        </a:stretch>
      </xdr:blipFill>
      <xdr:spPr>
        <a:xfrm>
          <a:off x="590550" y="25231725"/>
          <a:ext cx="1135856" cy="1514475"/>
        </a:xfrm>
        <a:prstGeom prst="rect">
          <a:avLst/>
        </a:prstGeom>
      </xdr:spPr>
    </xdr:pic>
    <xdr:clientData/>
  </xdr:twoCellAnchor>
  <xdr:twoCellAnchor>
    <xdr:from>
      <xdr:col>6</xdr:col>
      <xdr:colOff>38100</xdr:colOff>
      <xdr:row>93</xdr:row>
      <xdr:rowOff>19050</xdr:rowOff>
    </xdr:from>
    <xdr:to>
      <xdr:col>7</xdr:col>
      <xdr:colOff>542449</xdr:colOff>
      <xdr:row>98</xdr:row>
      <xdr:rowOff>200025</xdr:rowOff>
    </xdr:to>
    <xdr:pic>
      <xdr:nvPicPr>
        <xdr:cNvPr id="31" name="Picture 30" descr="Star Wars: Knights of the Old Republic — user-provided workbook cover"/>
        <xdr:cNvPicPr>
          <a:picLocks noChangeAspect="1"/>
        </xdr:cNvPicPr>
      </xdr:nvPicPr>
      <xdr:blipFill>
        <a:blip xmlns:r="http://schemas.openxmlformats.org/officeDocument/2006/relationships" r:embed="rId30"/>
        <a:stretch>
          <a:fillRect/>
        </a:stretch>
      </xdr:blipFill>
      <xdr:spPr>
        <a:xfrm>
          <a:off x="3524250" y="25231725"/>
          <a:ext cx="1085374" cy="1514475"/>
        </a:xfrm>
        <a:prstGeom prst="rect">
          <a:avLst/>
        </a:prstGeom>
      </xdr:spPr>
    </xdr:pic>
    <xdr:clientData/>
  </xdr:twoCellAnchor>
  <xdr:twoCellAnchor>
    <xdr:from>
      <xdr:col>11</xdr:col>
      <xdr:colOff>38100</xdr:colOff>
      <xdr:row>93</xdr:row>
      <xdr:rowOff>19050</xdr:rowOff>
    </xdr:from>
    <xdr:to>
      <xdr:col>12</xdr:col>
      <xdr:colOff>529828</xdr:colOff>
      <xdr:row>98</xdr:row>
      <xdr:rowOff>200025</xdr:rowOff>
    </xdr:to>
    <xdr:pic>
      <xdr:nvPicPr>
        <xdr:cNvPr id="32" name="Picture 31" descr="Metal Gear Solid 3: Snake Eater — user-provided workbook cover"/>
        <xdr:cNvPicPr>
          <a:picLocks noChangeAspect="1"/>
        </xdr:cNvPicPr>
      </xdr:nvPicPr>
      <xdr:blipFill>
        <a:blip xmlns:r="http://schemas.openxmlformats.org/officeDocument/2006/relationships" r:embed="rId31"/>
        <a:stretch>
          <a:fillRect/>
        </a:stretch>
      </xdr:blipFill>
      <xdr:spPr>
        <a:xfrm>
          <a:off x="6429375" y="25231725"/>
          <a:ext cx="1072753" cy="1514475"/>
        </a:xfrm>
        <a:prstGeom prst="rect">
          <a:avLst/>
        </a:prstGeom>
      </xdr:spPr>
    </xdr:pic>
    <xdr:clientData/>
  </xdr:twoCellAnchor>
  <xdr:twoCellAnchor>
    <xdr:from>
      <xdr:col>16</xdr:col>
      <xdr:colOff>57150</xdr:colOff>
      <xdr:row>93</xdr:row>
      <xdr:rowOff>19050</xdr:rowOff>
    </xdr:from>
    <xdr:to>
      <xdr:col>17</xdr:col>
      <xdr:colOff>511016</xdr:colOff>
      <xdr:row>98</xdr:row>
      <xdr:rowOff>200025</xdr:rowOff>
    </xdr:to>
    <xdr:pic>
      <xdr:nvPicPr>
        <xdr:cNvPr id="33" name="Picture 32" descr="Call of Duty 4: Modern Warfare — user-provided workbook cover"/>
        <xdr:cNvPicPr>
          <a:picLocks noChangeAspect="1"/>
        </xdr:cNvPicPr>
      </xdr:nvPicPr>
      <xdr:blipFill>
        <a:blip xmlns:r="http://schemas.openxmlformats.org/officeDocument/2006/relationships" r:embed="rId32"/>
        <a:stretch>
          <a:fillRect/>
        </a:stretch>
      </xdr:blipFill>
      <xdr:spPr>
        <a:xfrm>
          <a:off x="9353550" y="25231725"/>
          <a:ext cx="1034891" cy="1514475"/>
        </a:xfrm>
        <a:prstGeom prst="rect">
          <a:avLst/>
        </a:prstGeom>
      </xdr:spPr>
    </xdr:pic>
    <xdr:clientData/>
  </xdr:twoCellAnchor>
  <xdr:twoCellAnchor>
    <xdr:from>
      <xdr:col>1</xdr:col>
      <xdr:colOff>0</xdr:colOff>
      <xdr:row>105</xdr:row>
      <xdr:rowOff>19050</xdr:rowOff>
    </xdr:from>
    <xdr:to>
      <xdr:col>2</xdr:col>
      <xdr:colOff>580072</xdr:colOff>
      <xdr:row>110</xdr:row>
      <xdr:rowOff>200025</xdr:rowOff>
    </xdr:to>
    <xdr:pic>
      <xdr:nvPicPr>
        <xdr:cNvPr id="34" name="Picture 33" descr="Assassin's Creed IV: Black Flag — user-provided workbook cover"/>
        <xdr:cNvPicPr>
          <a:picLocks noChangeAspect="1"/>
        </xdr:cNvPicPr>
      </xdr:nvPicPr>
      <xdr:blipFill>
        <a:blip xmlns:r="http://schemas.openxmlformats.org/officeDocument/2006/relationships" r:embed="rId33"/>
        <a:stretch>
          <a:fillRect/>
        </a:stretch>
      </xdr:blipFill>
      <xdr:spPr>
        <a:xfrm>
          <a:off x="581025" y="28432125"/>
          <a:ext cx="1161098" cy="1514475"/>
        </a:xfrm>
        <a:prstGeom prst="rect">
          <a:avLst/>
        </a:prstGeom>
      </xdr:spPr>
    </xdr:pic>
    <xdr:clientData/>
  </xdr:twoCellAnchor>
  <xdr:twoCellAnchor>
    <xdr:from>
      <xdr:col>5</xdr:col>
      <xdr:colOff>542925</xdr:colOff>
      <xdr:row>105</xdr:row>
      <xdr:rowOff>19050</xdr:rowOff>
    </xdr:from>
    <xdr:to>
      <xdr:col>8</xdr:col>
      <xdr:colOff>36671</xdr:colOff>
      <xdr:row>110</xdr:row>
      <xdr:rowOff>200025</xdr:rowOff>
    </xdr:to>
    <xdr:pic>
      <xdr:nvPicPr>
        <xdr:cNvPr id="35" name="Picture 34" descr="Dishonored — user-provided workbook cover"/>
        <xdr:cNvPicPr>
          <a:picLocks noChangeAspect="1"/>
        </xdr:cNvPicPr>
      </xdr:nvPicPr>
      <xdr:blipFill>
        <a:blip xmlns:r="http://schemas.openxmlformats.org/officeDocument/2006/relationships" r:embed="rId34"/>
        <a:stretch>
          <a:fillRect/>
        </a:stretch>
      </xdr:blipFill>
      <xdr:spPr>
        <a:xfrm>
          <a:off x="3448050" y="28432125"/>
          <a:ext cx="1236821" cy="1514475"/>
        </a:xfrm>
        <a:prstGeom prst="rect">
          <a:avLst/>
        </a:prstGeom>
      </xdr:spPr>
    </xdr:pic>
    <xdr:clientData/>
  </xdr:twoCellAnchor>
  <xdr:twoCellAnchor>
    <xdr:from>
      <xdr:col>11</xdr:col>
      <xdr:colOff>38100</xdr:colOff>
      <xdr:row>105</xdr:row>
      <xdr:rowOff>19050</xdr:rowOff>
    </xdr:from>
    <xdr:to>
      <xdr:col>12</xdr:col>
      <xdr:colOff>542449</xdr:colOff>
      <xdr:row>110</xdr:row>
      <xdr:rowOff>200025</xdr:rowOff>
    </xdr:to>
    <xdr:pic>
      <xdr:nvPicPr>
        <xdr:cNvPr id="36" name="Picture 35" descr="The Elder Scrolls IV: Oblivion — user-provided workbook cover"/>
        <xdr:cNvPicPr>
          <a:picLocks noChangeAspect="1"/>
        </xdr:cNvPicPr>
      </xdr:nvPicPr>
      <xdr:blipFill>
        <a:blip xmlns:r="http://schemas.openxmlformats.org/officeDocument/2006/relationships" r:embed="rId35"/>
        <a:stretch>
          <a:fillRect/>
        </a:stretch>
      </xdr:blipFill>
      <xdr:spPr>
        <a:xfrm>
          <a:off x="6429375" y="28432125"/>
          <a:ext cx="1085374" cy="1514475"/>
        </a:xfrm>
        <a:prstGeom prst="rect">
          <a:avLst/>
        </a:prstGeom>
      </xdr:spPr>
    </xdr:pic>
    <xdr:clientData/>
  </xdr:twoCellAnchor>
  <xdr:twoCellAnchor>
    <xdr:from>
      <xdr:col>15</xdr:col>
      <xdr:colOff>561975</xdr:colOff>
      <xdr:row>105</xdr:row>
      <xdr:rowOff>19050</xdr:rowOff>
    </xdr:from>
    <xdr:to>
      <xdr:col>18</xdr:col>
      <xdr:colOff>5239</xdr:colOff>
      <xdr:row>110</xdr:row>
      <xdr:rowOff>200025</xdr:rowOff>
    </xdr:to>
    <xdr:pic>
      <xdr:nvPicPr>
        <xdr:cNvPr id="37" name="Picture 36" descr="Halo: Reach — user-provided workbook cover"/>
        <xdr:cNvPicPr>
          <a:picLocks noChangeAspect="1"/>
        </xdr:cNvPicPr>
      </xdr:nvPicPr>
      <xdr:blipFill>
        <a:blip xmlns:r="http://schemas.openxmlformats.org/officeDocument/2006/relationships" r:embed="rId36"/>
        <a:stretch>
          <a:fillRect/>
        </a:stretch>
      </xdr:blipFill>
      <xdr:spPr>
        <a:xfrm>
          <a:off x="9277350" y="28432125"/>
          <a:ext cx="1186339" cy="1514475"/>
        </a:xfrm>
        <a:prstGeom prst="rect">
          <a:avLst/>
        </a:prstGeom>
      </xdr:spPr>
    </xdr:pic>
    <xdr:clientData/>
  </xdr:twoCellAnchor>
  <xdr:twoCellAnchor>
    <xdr:from>
      <xdr:col>1</xdr:col>
      <xdr:colOff>0</xdr:colOff>
      <xdr:row>117</xdr:row>
      <xdr:rowOff>19050</xdr:rowOff>
    </xdr:from>
    <xdr:to>
      <xdr:col>2</xdr:col>
      <xdr:colOff>580072</xdr:colOff>
      <xdr:row>122</xdr:row>
      <xdr:rowOff>200025</xdr:rowOff>
    </xdr:to>
    <xdr:pic>
      <xdr:nvPicPr>
        <xdr:cNvPr id="38" name="Picture 37" descr="Far Cry 4 — user-provided workbook cover"/>
        <xdr:cNvPicPr>
          <a:picLocks noChangeAspect="1"/>
        </xdr:cNvPicPr>
      </xdr:nvPicPr>
      <xdr:blipFill>
        <a:blip xmlns:r="http://schemas.openxmlformats.org/officeDocument/2006/relationships" r:embed="rId37"/>
        <a:stretch>
          <a:fillRect/>
        </a:stretch>
      </xdr:blipFill>
      <xdr:spPr>
        <a:xfrm>
          <a:off x="581025" y="31632525"/>
          <a:ext cx="1161098" cy="1514475"/>
        </a:xfrm>
        <a:prstGeom prst="rect">
          <a:avLst/>
        </a:prstGeom>
      </xdr:spPr>
    </xdr:pic>
    <xdr:clientData/>
  </xdr:twoCellAnchor>
  <xdr:twoCellAnchor>
    <xdr:from>
      <xdr:col>6</xdr:col>
      <xdr:colOff>9525</xdr:colOff>
      <xdr:row>117</xdr:row>
      <xdr:rowOff>19050</xdr:rowOff>
    </xdr:from>
    <xdr:to>
      <xdr:col>7</xdr:col>
      <xdr:colOff>564356</xdr:colOff>
      <xdr:row>122</xdr:row>
      <xdr:rowOff>200025</xdr:rowOff>
    </xdr:to>
    <xdr:pic>
      <xdr:nvPicPr>
        <xdr:cNvPr id="39" name="Picture 38" descr="Dragon Age: Inquisition — user-provided workbook cover"/>
        <xdr:cNvPicPr>
          <a:picLocks noChangeAspect="1"/>
        </xdr:cNvPicPr>
      </xdr:nvPicPr>
      <xdr:blipFill>
        <a:blip xmlns:r="http://schemas.openxmlformats.org/officeDocument/2006/relationships" r:embed="rId38"/>
        <a:stretch>
          <a:fillRect/>
        </a:stretch>
      </xdr:blipFill>
      <xdr:spPr>
        <a:xfrm>
          <a:off x="3495675" y="31632525"/>
          <a:ext cx="1135856" cy="1514475"/>
        </a:xfrm>
        <a:prstGeom prst="rect">
          <a:avLst/>
        </a:prstGeom>
      </xdr:spPr>
    </xdr:pic>
    <xdr:clientData/>
  </xdr:twoCellAnchor>
  <xdr:twoCellAnchor>
    <xdr:from>
      <xdr:col>11</xdr:col>
      <xdr:colOff>9525</xdr:colOff>
      <xdr:row>117</xdr:row>
      <xdr:rowOff>19050</xdr:rowOff>
    </xdr:from>
    <xdr:to>
      <xdr:col>12</xdr:col>
      <xdr:colOff>564356</xdr:colOff>
      <xdr:row>122</xdr:row>
      <xdr:rowOff>200025</xdr:rowOff>
    </xdr:to>
    <xdr:pic>
      <xdr:nvPicPr>
        <xdr:cNvPr id="40" name="Picture 39" descr="Metro Exodus — user-provided workbook cover"/>
        <xdr:cNvPicPr>
          <a:picLocks noChangeAspect="1"/>
        </xdr:cNvPicPr>
      </xdr:nvPicPr>
      <xdr:blipFill>
        <a:blip xmlns:r="http://schemas.openxmlformats.org/officeDocument/2006/relationships" r:embed="rId39"/>
        <a:stretch>
          <a:fillRect/>
        </a:stretch>
      </xdr:blipFill>
      <xdr:spPr>
        <a:xfrm>
          <a:off x="6400800" y="31632525"/>
          <a:ext cx="1135856" cy="1514475"/>
        </a:xfrm>
        <a:prstGeom prst="rect">
          <a:avLst/>
        </a:prstGeom>
      </xdr:spPr>
    </xdr:pic>
    <xdr:clientData/>
  </xdr:twoCellAnchor>
  <xdr:twoCellAnchor>
    <xdr:from>
      <xdr:col>16</xdr:col>
      <xdr:colOff>9525</xdr:colOff>
      <xdr:row>117</xdr:row>
      <xdr:rowOff>19050</xdr:rowOff>
    </xdr:from>
    <xdr:to>
      <xdr:col>17</xdr:col>
      <xdr:colOff>564356</xdr:colOff>
      <xdr:row>122</xdr:row>
      <xdr:rowOff>200025</xdr:rowOff>
    </xdr:to>
    <xdr:pic>
      <xdr:nvPicPr>
        <xdr:cNvPr id="41" name="Picture 40" descr="Resident Evil 2 — user-provided workbook cover"/>
        <xdr:cNvPicPr>
          <a:picLocks noChangeAspect="1"/>
        </xdr:cNvPicPr>
      </xdr:nvPicPr>
      <xdr:blipFill>
        <a:blip xmlns:r="http://schemas.openxmlformats.org/officeDocument/2006/relationships" r:embed="rId40"/>
        <a:stretch>
          <a:fillRect/>
        </a:stretch>
      </xdr:blipFill>
      <xdr:spPr>
        <a:xfrm>
          <a:off x="9305925" y="31632525"/>
          <a:ext cx="1135856" cy="1514475"/>
        </a:xfrm>
        <a:prstGeom prst="rect">
          <a:avLst/>
        </a:prstGeom>
      </xdr:spPr>
    </xdr:pic>
    <xdr:clientData/>
  </xdr:twoCellAnchor>
  <xdr:twoCellAnchor>
    <xdr:from>
      <xdr:col>1</xdr:col>
      <xdr:colOff>9525</xdr:colOff>
      <xdr:row>129</xdr:row>
      <xdr:rowOff>19050</xdr:rowOff>
    </xdr:from>
    <xdr:to>
      <xdr:col>2</xdr:col>
      <xdr:colOff>564356</xdr:colOff>
      <xdr:row>134</xdr:row>
      <xdr:rowOff>200025</xdr:rowOff>
    </xdr:to>
    <xdr:pic>
      <xdr:nvPicPr>
        <xdr:cNvPr id="42" name="Picture 41" descr="Resident Evil Requiem — user-provided workbook cover"/>
        <xdr:cNvPicPr>
          <a:picLocks noChangeAspect="1"/>
        </xdr:cNvPicPr>
      </xdr:nvPicPr>
      <xdr:blipFill>
        <a:blip xmlns:r="http://schemas.openxmlformats.org/officeDocument/2006/relationships" r:embed="rId41"/>
        <a:stretch>
          <a:fillRect/>
        </a:stretch>
      </xdr:blipFill>
      <xdr:spPr>
        <a:xfrm>
          <a:off x="590550" y="34832925"/>
          <a:ext cx="1135856" cy="1514475"/>
        </a:xfrm>
        <a:prstGeom prst="rect">
          <a:avLst/>
        </a:prstGeom>
      </xdr:spPr>
    </xdr:pic>
    <xdr:clientData/>
  </xdr:twoCellAnchor>
  <xdr:twoCellAnchor>
    <xdr:from>
      <xdr:col>6</xdr:col>
      <xdr:colOff>9525</xdr:colOff>
      <xdr:row>129</xdr:row>
      <xdr:rowOff>19050</xdr:rowOff>
    </xdr:from>
    <xdr:to>
      <xdr:col>7</xdr:col>
      <xdr:colOff>564356</xdr:colOff>
      <xdr:row>134</xdr:row>
      <xdr:rowOff>200025</xdr:rowOff>
    </xdr:to>
    <xdr:pic>
      <xdr:nvPicPr>
        <xdr:cNvPr id="43" name="Picture 42" descr="Titanfall 2 — user-provided workbook cover"/>
        <xdr:cNvPicPr>
          <a:picLocks noChangeAspect="1"/>
        </xdr:cNvPicPr>
      </xdr:nvPicPr>
      <xdr:blipFill>
        <a:blip xmlns:r="http://schemas.openxmlformats.org/officeDocument/2006/relationships" r:embed="rId42"/>
        <a:stretch>
          <a:fillRect/>
        </a:stretch>
      </xdr:blipFill>
      <xdr:spPr>
        <a:xfrm>
          <a:off x="3495675" y="34832925"/>
          <a:ext cx="1135856" cy="1514475"/>
        </a:xfrm>
        <a:prstGeom prst="rect">
          <a:avLst/>
        </a:prstGeom>
      </xdr:spPr>
    </xdr:pic>
    <xdr:clientData/>
  </xdr:twoCellAnchor>
  <xdr:twoCellAnchor>
    <xdr:from>
      <xdr:col>11</xdr:col>
      <xdr:colOff>19050</xdr:colOff>
      <xdr:row>129</xdr:row>
      <xdr:rowOff>19050</xdr:rowOff>
    </xdr:from>
    <xdr:to>
      <xdr:col>12</xdr:col>
      <xdr:colOff>548640</xdr:colOff>
      <xdr:row>134</xdr:row>
      <xdr:rowOff>200025</xdr:rowOff>
    </xdr:to>
    <xdr:pic>
      <xdr:nvPicPr>
        <xdr:cNvPr id="44" name="Picture 43" descr="Star Wars Battlefront II — user-provided workbook cover"/>
        <xdr:cNvPicPr>
          <a:picLocks noChangeAspect="1"/>
        </xdr:cNvPicPr>
      </xdr:nvPicPr>
      <xdr:blipFill>
        <a:blip xmlns:r="http://schemas.openxmlformats.org/officeDocument/2006/relationships" r:embed="rId43"/>
        <a:stretch>
          <a:fillRect/>
        </a:stretch>
      </xdr:blipFill>
      <xdr:spPr>
        <a:xfrm>
          <a:off x="6410325" y="34832925"/>
          <a:ext cx="1110615" cy="1514475"/>
        </a:xfrm>
        <a:prstGeom prst="rect">
          <a:avLst/>
        </a:prstGeom>
      </xdr:spPr>
    </xdr:pic>
    <xdr:clientData/>
  </xdr:twoCellAnchor>
  <xdr:twoCellAnchor>
    <xdr:from>
      <xdr:col>15</xdr:col>
      <xdr:colOff>552450</xdr:colOff>
      <xdr:row>129</xdr:row>
      <xdr:rowOff>19050</xdr:rowOff>
    </xdr:from>
    <xdr:to>
      <xdr:col>18</xdr:col>
      <xdr:colOff>20955</xdr:colOff>
      <xdr:row>134</xdr:row>
      <xdr:rowOff>200025</xdr:rowOff>
    </xdr:to>
    <xdr:pic>
      <xdr:nvPicPr>
        <xdr:cNvPr id="45" name="Picture 44" descr="Sekiro: Shadows Die Twice — user-provided workbook cover"/>
        <xdr:cNvPicPr>
          <a:picLocks noChangeAspect="1"/>
        </xdr:cNvPicPr>
      </xdr:nvPicPr>
      <xdr:blipFill>
        <a:blip xmlns:r="http://schemas.openxmlformats.org/officeDocument/2006/relationships" r:embed="rId44"/>
        <a:stretch>
          <a:fillRect/>
        </a:stretch>
      </xdr:blipFill>
      <xdr:spPr>
        <a:xfrm>
          <a:off x="9267825" y="34832925"/>
          <a:ext cx="1211580" cy="1514475"/>
        </a:xfrm>
        <a:prstGeom prst="rect">
          <a:avLst/>
        </a:prstGeom>
      </xdr:spPr>
    </xdr:pic>
    <xdr:clientData/>
  </xdr:twoCellAnchor>
  <xdr:twoCellAnchor>
    <xdr:from>
      <xdr:col>0</xdr:col>
      <xdr:colOff>523875</xdr:colOff>
      <xdr:row>141</xdr:row>
      <xdr:rowOff>19050</xdr:rowOff>
    </xdr:from>
    <xdr:to>
      <xdr:col>3</xdr:col>
      <xdr:colOff>42863</xdr:colOff>
      <xdr:row>146</xdr:row>
      <xdr:rowOff>200025</xdr:rowOff>
    </xdr:to>
    <xdr:pic>
      <xdr:nvPicPr>
        <xdr:cNvPr id="46" name="Picture 45" descr="Bloodborne — user-provided workbook cover"/>
        <xdr:cNvPicPr>
          <a:picLocks noChangeAspect="1"/>
        </xdr:cNvPicPr>
      </xdr:nvPicPr>
      <xdr:blipFill>
        <a:blip xmlns:r="http://schemas.openxmlformats.org/officeDocument/2006/relationships" r:embed="rId45"/>
        <a:stretch>
          <a:fillRect/>
        </a:stretch>
      </xdr:blipFill>
      <xdr:spPr>
        <a:xfrm>
          <a:off x="523875" y="38033325"/>
          <a:ext cx="1262063" cy="1514475"/>
        </a:xfrm>
        <a:prstGeom prst="rect">
          <a:avLst/>
        </a:prstGeom>
      </xdr:spPr>
    </xdr:pic>
    <xdr:clientData/>
  </xdr:twoCellAnchor>
  <xdr:twoCellAnchor>
    <xdr:from>
      <xdr:col>5</xdr:col>
      <xdr:colOff>561975</xdr:colOff>
      <xdr:row>141</xdr:row>
      <xdr:rowOff>19050</xdr:rowOff>
    </xdr:from>
    <xdr:to>
      <xdr:col>8</xdr:col>
      <xdr:colOff>17859</xdr:colOff>
      <xdr:row>146</xdr:row>
      <xdr:rowOff>200025</xdr:rowOff>
    </xdr:to>
    <xdr:pic>
      <xdr:nvPicPr>
        <xdr:cNvPr id="47" name="Picture 46" descr="Grand Theft Auto: Vice City — user-provided workbook cover"/>
        <xdr:cNvPicPr>
          <a:picLocks noChangeAspect="1"/>
        </xdr:cNvPicPr>
      </xdr:nvPicPr>
      <xdr:blipFill>
        <a:blip xmlns:r="http://schemas.openxmlformats.org/officeDocument/2006/relationships" r:embed="rId46"/>
        <a:stretch>
          <a:fillRect/>
        </a:stretch>
      </xdr:blipFill>
      <xdr:spPr>
        <a:xfrm>
          <a:off x="3467100" y="38033325"/>
          <a:ext cx="1198959" cy="1514475"/>
        </a:xfrm>
        <a:prstGeom prst="rect">
          <a:avLst/>
        </a:prstGeom>
      </xdr:spPr>
    </xdr:pic>
    <xdr:clientData/>
  </xdr:twoCellAnchor>
  <xdr:twoCellAnchor>
    <xdr:from>
      <xdr:col>11</xdr:col>
      <xdr:colOff>9525</xdr:colOff>
      <xdr:row>141</xdr:row>
      <xdr:rowOff>19050</xdr:rowOff>
    </xdr:from>
    <xdr:to>
      <xdr:col>12</xdr:col>
      <xdr:colOff>564356</xdr:colOff>
      <xdr:row>146</xdr:row>
      <xdr:rowOff>200025</xdr:rowOff>
    </xdr:to>
    <xdr:pic>
      <xdr:nvPicPr>
        <xdr:cNvPr id="48" name="Picture 47" descr="Star Wars Jedi: Fallen Order — user-provided workbook cover"/>
        <xdr:cNvPicPr>
          <a:picLocks noChangeAspect="1"/>
        </xdr:cNvPicPr>
      </xdr:nvPicPr>
      <xdr:blipFill>
        <a:blip xmlns:r="http://schemas.openxmlformats.org/officeDocument/2006/relationships" r:embed="rId47"/>
        <a:stretch>
          <a:fillRect/>
        </a:stretch>
      </xdr:blipFill>
      <xdr:spPr>
        <a:xfrm>
          <a:off x="6400800" y="38033325"/>
          <a:ext cx="1135856" cy="1514475"/>
        </a:xfrm>
        <a:prstGeom prst="rect">
          <a:avLst/>
        </a:prstGeom>
      </xdr:spPr>
    </xdr:pic>
    <xdr:clientData/>
  </xdr:twoCellAnchor>
  <xdr:twoCellAnchor>
    <xdr:from>
      <xdr:col>16</xdr:col>
      <xdr:colOff>9525</xdr:colOff>
      <xdr:row>141</xdr:row>
      <xdr:rowOff>19050</xdr:rowOff>
    </xdr:from>
    <xdr:to>
      <xdr:col>17</xdr:col>
      <xdr:colOff>564356</xdr:colOff>
      <xdr:row>146</xdr:row>
      <xdr:rowOff>200025</xdr:rowOff>
    </xdr:to>
    <xdr:pic>
      <xdr:nvPicPr>
        <xdr:cNvPr id="49" name="Picture 48" descr="Horizon Zero Dawn — user-provided workbook cover"/>
        <xdr:cNvPicPr>
          <a:picLocks noChangeAspect="1"/>
        </xdr:cNvPicPr>
      </xdr:nvPicPr>
      <xdr:blipFill>
        <a:blip xmlns:r="http://schemas.openxmlformats.org/officeDocument/2006/relationships" r:embed="rId48"/>
        <a:stretch>
          <a:fillRect/>
        </a:stretch>
      </xdr:blipFill>
      <xdr:spPr>
        <a:xfrm>
          <a:off x="9305925" y="38033325"/>
          <a:ext cx="1135856" cy="1514475"/>
        </a:xfrm>
        <a:prstGeom prst="rect">
          <a:avLst/>
        </a:prstGeom>
      </xdr:spPr>
    </xdr:pic>
    <xdr:clientData/>
  </xdr:twoCellAnchor>
  <xdr:twoCellAnchor>
    <xdr:from>
      <xdr:col>1</xdr:col>
      <xdr:colOff>9525</xdr:colOff>
      <xdr:row>153</xdr:row>
      <xdr:rowOff>19050</xdr:rowOff>
    </xdr:from>
    <xdr:to>
      <xdr:col>2</xdr:col>
      <xdr:colOff>564356</xdr:colOff>
      <xdr:row>158</xdr:row>
      <xdr:rowOff>200025</xdr:rowOff>
    </xdr:to>
    <xdr:pic>
      <xdr:nvPicPr>
        <xdr:cNvPr id="50" name="Picture 49" descr="Horizon Forbidden West — user-provided workbook cover"/>
        <xdr:cNvPicPr>
          <a:picLocks noChangeAspect="1"/>
        </xdr:cNvPicPr>
      </xdr:nvPicPr>
      <xdr:blipFill>
        <a:blip xmlns:r="http://schemas.openxmlformats.org/officeDocument/2006/relationships" r:embed="rId49"/>
        <a:stretch>
          <a:fillRect/>
        </a:stretch>
      </xdr:blipFill>
      <xdr:spPr>
        <a:xfrm>
          <a:off x="590550" y="41233725"/>
          <a:ext cx="1135856" cy="1514475"/>
        </a:xfrm>
        <a:prstGeom prst="rect">
          <a:avLst/>
        </a:prstGeom>
      </xdr:spPr>
    </xdr:pic>
    <xdr:clientData/>
  </xdr:twoCellAnchor>
  <xdr:twoCellAnchor>
    <xdr:from>
      <xdr:col>6</xdr:col>
      <xdr:colOff>9525</xdr:colOff>
      <xdr:row>153</xdr:row>
      <xdr:rowOff>19050</xdr:rowOff>
    </xdr:from>
    <xdr:to>
      <xdr:col>7</xdr:col>
      <xdr:colOff>564356</xdr:colOff>
      <xdr:row>158</xdr:row>
      <xdr:rowOff>200025</xdr:rowOff>
    </xdr:to>
    <xdr:pic>
      <xdr:nvPicPr>
        <xdr:cNvPr id="51" name="Picture 50" descr="Ghost of Tsushima — user-provided workbook cover"/>
        <xdr:cNvPicPr>
          <a:picLocks noChangeAspect="1"/>
        </xdr:cNvPicPr>
      </xdr:nvPicPr>
      <xdr:blipFill>
        <a:blip xmlns:r="http://schemas.openxmlformats.org/officeDocument/2006/relationships" r:embed="rId50"/>
        <a:stretch>
          <a:fillRect/>
        </a:stretch>
      </xdr:blipFill>
      <xdr:spPr>
        <a:xfrm>
          <a:off x="3495675" y="41233725"/>
          <a:ext cx="1135856" cy="1514475"/>
        </a:xfrm>
        <a:prstGeom prst="rect">
          <a:avLst/>
        </a:prstGeom>
      </xdr:spPr>
    </xdr:pic>
    <xdr:clientData/>
  </xdr:twoCellAnchor>
  <xdr:twoCellAnchor>
    <xdr:from>
      <xdr:col>11</xdr:col>
      <xdr:colOff>9525</xdr:colOff>
      <xdr:row>153</xdr:row>
      <xdr:rowOff>19050</xdr:rowOff>
    </xdr:from>
    <xdr:to>
      <xdr:col>12</xdr:col>
      <xdr:colOff>564356</xdr:colOff>
      <xdr:row>158</xdr:row>
      <xdr:rowOff>200025</xdr:rowOff>
    </xdr:to>
    <xdr:pic>
      <xdr:nvPicPr>
        <xdr:cNvPr id="52" name="Picture 51" descr="DOOM Eternal — user-provided workbook cover"/>
        <xdr:cNvPicPr>
          <a:picLocks noChangeAspect="1"/>
        </xdr:cNvPicPr>
      </xdr:nvPicPr>
      <xdr:blipFill>
        <a:blip xmlns:r="http://schemas.openxmlformats.org/officeDocument/2006/relationships" r:embed="rId51"/>
        <a:stretch>
          <a:fillRect/>
        </a:stretch>
      </xdr:blipFill>
      <xdr:spPr>
        <a:xfrm>
          <a:off x="6400800" y="41233725"/>
          <a:ext cx="1135856" cy="1514475"/>
        </a:xfrm>
        <a:prstGeom prst="rect">
          <a:avLst/>
        </a:prstGeom>
      </xdr:spPr>
    </xdr:pic>
    <xdr:clientData/>
  </xdr:twoCellAnchor>
  <xdr:twoCellAnchor>
    <xdr:from>
      <xdr:col>16</xdr:col>
      <xdr:colOff>9525</xdr:colOff>
      <xdr:row>153</xdr:row>
      <xdr:rowOff>19050</xdr:rowOff>
    </xdr:from>
    <xdr:to>
      <xdr:col>17</xdr:col>
      <xdr:colOff>564356</xdr:colOff>
      <xdr:row>158</xdr:row>
      <xdr:rowOff>200025</xdr:rowOff>
    </xdr:to>
    <xdr:pic>
      <xdr:nvPicPr>
        <xdr:cNvPr id="53" name="Picture 52" descr="Star Wars Jedi: Survivor — user-provided workbook cover"/>
        <xdr:cNvPicPr>
          <a:picLocks noChangeAspect="1"/>
        </xdr:cNvPicPr>
      </xdr:nvPicPr>
      <xdr:blipFill>
        <a:blip xmlns:r="http://schemas.openxmlformats.org/officeDocument/2006/relationships" r:embed="rId52"/>
        <a:stretch>
          <a:fillRect/>
        </a:stretch>
      </xdr:blipFill>
      <xdr:spPr>
        <a:xfrm>
          <a:off x="9305925" y="41233725"/>
          <a:ext cx="1135856" cy="1514475"/>
        </a:xfrm>
        <a:prstGeom prst="rect">
          <a:avLst/>
        </a:prstGeom>
      </xdr:spPr>
    </xdr:pic>
    <xdr:clientData/>
  </xdr:twoCellAnchor>
  <xdr:twoCellAnchor>
    <xdr:from>
      <xdr:col>1</xdr:col>
      <xdr:colOff>9525</xdr:colOff>
      <xdr:row>165</xdr:row>
      <xdr:rowOff>19050</xdr:rowOff>
    </xdr:from>
    <xdr:to>
      <xdr:col>2</xdr:col>
      <xdr:colOff>564356</xdr:colOff>
      <xdr:row>170</xdr:row>
      <xdr:rowOff>200025</xdr:rowOff>
    </xdr:to>
    <xdr:pic>
      <xdr:nvPicPr>
        <xdr:cNvPr id="54" name="Picture 53" descr="Death Stranding — user-provided workbook cover"/>
        <xdr:cNvPicPr>
          <a:picLocks noChangeAspect="1"/>
        </xdr:cNvPicPr>
      </xdr:nvPicPr>
      <xdr:blipFill>
        <a:blip xmlns:r="http://schemas.openxmlformats.org/officeDocument/2006/relationships" r:embed="rId53"/>
        <a:stretch>
          <a:fillRect/>
        </a:stretch>
      </xdr:blipFill>
      <xdr:spPr>
        <a:xfrm>
          <a:off x="590550" y="44434125"/>
          <a:ext cx="1135856" cy="1514475"/>
        </a:xfrm>
        <a:prstGeom prst="rect">
          <a:avLst/>
        </a:prstGeom>
      </xdr:spPr>
    </xdr:pic>
    <xdr:clientData/>
  </xdr:twoCellAnchor>
  <xdr:twoCellAnchor>
    <xdr:from>
      <xdr:col>6</xdr:col>
      <xdr:colOff>9525</xdr:colOff>
      <xdr:row>165</xdr:row>
      <xdr:rowOff>19050</xdr:rowOff>
    </xdr:from>
    <xdr:to>
      <xdr:col>7</xdr:col>
      <xdr:colOff>564356</xdr:colOff>
      <xdr:row>170</xdr:row>
      <xdr:rowOff>200025</xdr:rowOff>
    </xdr:to>
    <xdr:pic>
      <xdr:nvPicPr>
        <xdr:cNvPr id="55" name="Picture 54" descr="Death Stranding 2: On the Beach — user-provided workbook cover"/>
        <xdr:cNvPicPr>
          <a:picLocks noChangeAspect="1"/>
        </xdr:cNvPicPr>
      </xdr:nvPicPr>
      <xdr:blipFill>
        <a:blip xmlns:r="http://schemas.openxmlformats.org/officeDocument/2006/relationships" r:embed="rId54"/>
        <a:stretch>
          <a:fillRect/>
        </a:stretch>
      </xdr:blipFill>
      <xdr:spPr>
        <a:xfrm>
          <a:off x="3495675" y="44434125"/>
          <a:ext cx="1135856" cy="1514475"/>
        </a:xfrm>
        <a:prstGeom prst="rect">
          <a:avLst/>
        </a:prstGeom>
      </xdr:spPr>
    </xdr:pic>
    <xdr:clientData/>
  </xdr:twoCellAnchor>
  <xdr:twoCellAnchor>
    <xdr:from>
      <xdr:col>11</xdr:col>
      <xdr:colOff>47625</xdr:colOff>
      <xdr:row>165</xdr:row>
      <xdr:rowOff>19050</xdr:rowOff>
    </xdr:from>
    <xdr:to>
      <xdr:col>12</xdr:col>
      <xdr:colOff>526733</xdr:colOff>
      <xdr:row>170</xdr:row>
      <xdr:rowOff>200025</xdr:rowOff>
    </xdr:to>
    <xdr:pic>
      <xdr:nvPicPr>
        <xdr:cNvPr id="56" name="Picture 55" descr="Final Fantasy VII Remake — user-provided workbook cover"/>
        <xdr:cNvPicPr>
          <a:picLocks noChangeAspect="1"/>
        </xdr:cNvPicPr>
      </xdr:nvPicPr>
      <xdr:blipFill>
        <a:blip xmlns:r="http://schemas.openxmlformats.org/officeDocument/2006/relationships" r:embed="rId55"/>
        <a:stretch>
          <a:fillRect/>
        </a:stretch>
      </xdr:blipFill>
      <xdr:spPr>
        <a:xfrm>
          <a:off x="6438900" y="44434125"/>
          <a:ext cx="1060133" cy="1514475"/>
        </a:xfrm>
        <a:prstGeom prst="rect">
          <a:avLst/>
        </a:prstGeom>
      </xdr:spPr>
    </xdr:pic>
    <xdr:clientData/>
  </xdr:twoCellAnchor>
  <xdr:twoCellAnchor>
    <xdr:from>
      <xdr:col>15</xdr:col>
      <xdr:colOff>466725</xdr:colOff>
      <xdr:row>165</xdr:row>
      <xdr:rowOff>19050</xdr:rowOff>
    </xdr:from>
    <xdr:to>
      <xdr:col>18</xdr:col>
      <xdr:colOff>99298</xdr:colOff>
      <xdr:row>170</xdr:row>
      <xdr:rowOff>200025</xdr:rowOff>
    </xdr:to>
    <xdr:pic>
      <xdr:nvPicPr>
        <xdr:cNvPr id="57" name="Picture 56" descr="Final Fantasy XVI — user-provided workbook cover"/>
        <xdr:cNvPicPr>
          <a:picLocks noChangeAspect="1"/>
        </xdr:cNvPicPr>
      </xdr:nvPicPr>
      <xdr:blipFill>
        <a:blip xmlns:r="http://schemas.openxmlformats.org/officeDocument/2006/relationships" r:embed="rId56"/>
        <a:stretch>
          <a:fillRect/>
        </a:stretch>
      </xdr:blipFill>
      <xdr:spPr>
        <a:xfrm>
          <a:off x="9182100" y="44434125"/>
          <a:ext cx="1375648" cy="1514475"/>
        </a:xfrm>
        <a:prstGeom prst="rect">
          <a:avLst/>
        </a:prstGeom>
      </xdr:spPr>
    </xdr:pic>
    <xdr:clientData/>
  </xdr:twoCellAnchor>
  <xdr:twoCellAnchor>
    <xdr:from>
      <xdr:col>0</xdr:col>
      <xdr:colOff>561975</xdr:colOff>
      <xdr:row>177</xdr:row>
      <xdr:rowOff>19050</xdr:rowOff>
    </xdr:from>
    <xdr:to>
      <xdr:col>3</xdr:col>
      <xdr:colOff>17859</xdr:colOff>
      <xdr:row>182</xdr:row>
      <xdr:rowOff>200025</xdr:rowOff>
    </xdr:to>
    <xdr:pic>
      <xdr:nvPicPr>
        <xdr:cNvPr id="58" name="Picture 57" descr="Final Fantasy XV — user-provided workbook cover"/>
        <xdr:cNvPicPr>
          <a:picLocks noChangeAspect="1"/>
        </xdr:cNvPicPr>
      </xdr:nvPicPr>
      <xdr:blipFill>
        <a:blip xmlns:r="http://schemas.openxmlformats.org/officeDocument/2006/relationships" r:embed="rId57"/>
        <a:stretch>
          <a:fillRect/>
        </a:stretch>
      </xdr:blipFill>
      <xdr:spPr>
        <a:xfrm>
          <a:off x="561975" y="47634525"/>
          <a:ext cx="1198959" cy="1514475"/>
        </a:xfrm>
        <a:prstGeom prst="rect">
          <a:avLst/>
        </a:prstGeom>
      </xdr:spPr>
    </xdr:pic>
    <xdr:clientData/>
  </xdr:twoCellAnchor>
  <xdr:twoCellAnchor>
    <xdr:from>
      <xdr:col>6</xdr:col>
      <xdr:colOff>9525</xdr:colOff>
      <xdr:row>177</xdr:row>
      <xdr:rowOff>19050</xdr:rowOff>
    </xdr:from>
    <xdr:to>
      <xdr:col>7</xdr:col>
      <xdr:colOff>564356</xdr:colOff>
      <xdr:row>182</xdr:row>
      <xdr:rowOff>200025</xdr:rowOff>
    </xdr:to>
    <xdr:pic>
      <xdr:nvPicPr>
        <xdr:cNvPr id="59" name="Picture 58" descr="Kingdom Hearts II — user-provided workbook cover"/>
        <xdr:cNvPicPr>
          <a:picLocks noChangeAspect="1"/>
        </xdr:cNvPicPr>
      </xdr:nvPicPr>
      <xdr:blipFill>
        <a:blip xmlns:r="http://schemas.openxmlformats.org/officeDocument/2006/relationships" r:embed="rId58"/>
        <a:stretch>
          <a:fillRect/>
        </a:stretch>
      </xdr:blipFill>
      <xdr:spPr>
        <a:xfrm>
          <a:off x="3495675" y="47634525"/>
          <a:ext cx="1135856" cy="1514475"/>
        </a:xfrm>
        <a:prstGeom prst="rect">
          <a:avLst/>
        </a:prstGeom>
      </xdr:spPr>
    </xdr:pic>
    <xdr:clientData/>
  </xdr:twoCellAnchor>
  <xdr:twoCellAnchor>
    <xdr:from>
      <xdr:col>10</xdr:col>
      <xdr:colOff>523875</xdr:colOff>
      <xdr:row>177</xdr:row>
      <xdr:rowOff>19050</xdr:rowOff>
    </xdr:from>
    <xdr:to>
      <xdr:col>13</xdr:col>
      <xdr:colOff>42863</xdr:colOff>
      <xdr:row>182</xdr:row>
      <xdr:rowOff>200025</xdr:rowOff>
    </xdr:to>
    <xdr:pic>
      <xdr:nvPicPr>
        <xdr:cNvPr id="60" name="Picture 59" descr="NieR:Automata — user-provided workbook cover"/>
        <xdr:cNvPicPr>
          <a:picLocks noChangeAspect="1"/>
        </xdr:cNvPicPr>
      </xdr:nvPicPr>
      <xdr:blipFill>
        <a:blip xmlns:r="http://schemas.openxmlformats.org/officeDocument/2006/relationships" r:embed="rId59"/>
        <a:stretch>
          <a:fillRect/>
        </a:stretch>
      </xdr:blipFill>
      <xdr:spPr>
        <a:xfrm>
          <a:off x="6334125" y="47634525"/>
          <a:ext cx="1262063" cy="1514475"/>
        </a:xfrm>
        <a:prstGeom prst="rect">
          <a:avLst/>
        </a:prstGeom>
      </xdr:spPr>
    </xdr:pic>
    <xdr:clientData/>
  </xdr:twoCellAnchor>
  <xdr:twoCellAnchor>
    <xdr:from>
      <xdr:col>16</xdr:col>
      <xdr:colOff>76200</xdr:colOff>
      <xdr:row>177</xdr:row>
      <xdr:rowOff>19050</xdr:rowOff>
    </xdr:from>
    <xdr:to>
      <xdr:col>17</xdr:col>
      <xdr:colOff>504825</xdr:colOff>
      <xdr:row>182</xdr:row>
      <xdr:rowOff>200025</xdr:rowOff>
    </xdr:to>
    <xdr:pic>
      <xdr:nvPicPr>
        <xdr:cNvPr id="61" name="Picture 60" descr="Diablo II — user-provided workbook cover"/>
        <xdr:cNvPicPr>
          <a:picLocks noChangeAspect="1"/>
        </xdr:cNvPicPr>
      </xdr:nvPicPr>
      <xdr:blipFill>
        <a:blip xmlns:r="http://schemas.openxmlformats.org/officeDocument/2006/relationships" r:embed="rId60"/>
        <a:stretch>
          <a:fillRect/>
        </a:stretch>
      </xdr:blipFill>
      <xdr:spPr>
        <a:xfrm>
          <a:off x="9372600" y="47634525"/>
          <a:ext cx="1009650" cy="1514475"/>
        </a:xfrm>
        <a:prstGeom prst="rect">
          <a:avLst/>
        </a:prstGeom>
      </xdr:spPr>
    </xdr:pic>
    <xdr:clientData/>
  </xdr:twoCellAnchor>
  <xdr:twoCellAnchor>
    <xdr:from>
      <xdr:col>1</xdr:col>
      <xdr:colOff>9525</xdr:colOff>
      <xdr:row>189</xdr:row>
      <xdr:rowOff>19050</xdr:rowOff>
    </xdr:from>
    <xdr:to>
      <xdr:col>2</xdr:col>
      <xdr:colOff>564356</xdr:colOff>
      <xdr:row>194</xdr:row>
      <xdr:rowOff>200025</xdr:rowOff>
    </xdr:to>
    <xdr:pic>
      <xdr:nvPicPr>
        <xdr:cNvPr id="62" name="Picture 61" descr="Diablo IV — user-provided workbook cover"/>
        <xdr:cNvPicPr>
          <a:picLocks noChangeAspect="1"/>
        </xdr:cNvPicPr>
      </xdr:nvPicPr>
      <xdr:blipFill>
        <a:blip xmlns:r="http://schemas.openxmlformats.org/officeDocument/2006/relationships" r:embed="rId61"/>
        <a:stretch>
          <a:fillRect/>
        </a:stretch>
      </xdr:blipFill>
      <xdr:spPr>
        <a:xfrm>
          <a:off x="590550" y="50834925"/>
          <a:ext cx="1135856" cy="1514475"/>
        </a:xfrm>
        <a:prstGeom prst="rect">
          <a:avLst/>
        </a:prstGeom>
      </xdr:spPr>
    </xdr:pic>
    <xdr:clientData/>
  </xdr:twoCellAnchor>
  <xdr:twoCellAnchor>
    <xdr:from>
      <xdr:col>6</xdr:col>
      <xdr:colOff>47625</xdr:colOff>
      <xdr:row>189</xdr:row>
      <xdr:rowOff>19050</xdr:rowOff>
    </xdr:from>
    <xdr:to>
      <xdr:col>7</xdr:col>
      <xdr:colOff>526733</xdr:colOff>
      <xdr:row>194</xdr:row>
      <xdr:rowOff>200025</xdr:rowOff>
    </xdr:to>
    <xdr:pic>
      <xdr:nvPicPr>
        <xdr:cNvPr id="63" name="Picture 62" descr="World of Warcraft — user-provided workbook cover"/>
        <xdr:cNvPicPr>
          <a:picLocks noChangeAspect="1"/>
        </xdr:cNvPicPr>
      </xdr:nvPicPr>
      <xdr:blipFill>
        <a:blip xmlns:r="http://schemas.openxmlformats.org/officeDocument/2006/relationships" r:embed="rId62"/>
        <a:stretch>
          <a:fillRect/>
        </a:stretch>
      </xdr:blipFill>
      <xdr:spPr>
        <a:xfrm>
          <a:off x="3533775" y="50834925"/>
          <a:ext cx="1060133" cy="1514475"/>
        </a:xfrm>
        <a:prstGeom prst="rect">
          <a:avLst/>
        </a:prstGeom>
      </xdr:spPr>
    </xdr:pic>
    <xdr:clientData/>
  </xdr:twoCellAnchor>
  <xdr:twoCellAnchor>
    <xdr:from>
      <xdr:col>11</xdr:col>
      <xdr:colOff>38100</xdr:colOff>
      <xdr:row>189</xdr:row>
      <xdr:rowOff>19050</xdr:rowOff>
    </xdr:from>
    <xdr:to>
      <xdr:col>12</xdr:col>
      <xdr:colOff>529828</xdr:colOff>
      <xdr:row>194</xdr:row>
      <xdr:rowOff>200025</xdr:rowOff>
    </xdr:to>
    <xdr:pic>
      <xdr:nvPicPr>
        <xdr:cNvPr id="64" name="Picture 63" descr="StarCraft II: Wings of Liberty — user-provided workbook cover"/>
        <xdr:cNvPicPr>
          <a:picLocks noChangeAspect="1"/>
        </xdr:cNvPicPr>
      </xdr:nvPicPr>
      <xdr:blipFill>
        <a:blip xmlns:r="http://schemas.openxmlformats.org/officeDocument/2006/relationships" r:embed="rId63"/>
        <a:stretch>
          <a:fillRect/>
        </a:stretch>
      </xdr:blipFill>
      <xdr:spPr>
        <a:xfrm>
          <a:off x="6429375" y="50834925"/>
          <a:ext cx="1072753" cy="1514475"/>
        </a:xfrm>
        <a:prstGeom prst="rect">
          <a:avLst/>
        </a:prstGeom>
      </xdr:spPr>
    </xdr:pic>
    <xdr:clientData/>
  </xdr:twoCellAnchor>
  <xdr:twoCellAnchor>
    <xdr:from>
      <xdr:col>16</xdr:col>
      <xdr:colOff>38100</xdr:colOff>
      <xdr:row>189</xdr:row>
      <xdr:rowOff>19050</xdr:rowOff>
    </xdr:from>
    <xdr:to>
      <xdr:col>17</xdr:col>
      <xdr:colOff>529828</xdr:colOff>
      <xdr:row>194</xdr:row>
      <xdr:rowOff>200025</xdr:rowOff>
    </xdr:to>
    <xdr:pic>
      <xdr:nvPicPr>
        <xdr:cNvPr id="65" name="Picture 64" descr="Warcraft III: Reign of Chaos — user-provided workbook cover"/>
        <xdr:cNvPicPr>
          <a:picLocks noChangeAspect="1"/>
        </xdr:cNvPicPr>
      </xdr:nvPicPr>
      <xdr:blipFill>
        <a:blip xmlns:r="http://schemas.openxmlformats.org/officeDocument/2006/relationships" r:embed="rId64"/>
        <a:stretch>
          <a:fillRect/>
        </a:stretch>
      </xdr:blipFill>
      <xdr:spPr>
        <a:xfrm>
          <a:off x="9334500" y="50834925"/>
          <a:ext cx="1072753" cy="1514475"/>
        </a:xfrm>
        <a:prstGeom prst="rect">
          <a:avLst/>
        </a:prstGeom>
      </xdr:spPr>
    </xdr:pic>
    <xdr:clientData/>
  </xdr:twoCellAnchor>
  <xdr:twoCellAnchor>
    <xdr:from>
      <xdr:col>1</xdr:col>
      <xdr:colOff>47625</xdr:colOff>
      <xdr:row>201</xdr:row>
      <xdr:rowOff>19050</xdr:rowOff>
    </xdr:from>
    <xdr:to>
      <xdr:col>2</xdr:col>
      <xdr:colOff>526733</xdr:colOff>
      <xdr:row>206</xdr:row>
      <xdr:rowOff>200025</xdr:rowOff>
    </xdr:to>
    <xdr:pic>
      <xdr:nvPicPr>
        <xdr:cNvPr id="66" name="Picture 65" descr="Overwatch — user-provided workbook cover"/>
        <xdr:cNvPicPr>
          <a:picLocks noChangeAspect="1"/>
        </xdr:cNvPicPr>
      </xdr:nvPicPr>
      <xdr:blipFill>
        <a:blip xmlns:r="http://schemas.openxmlformats.org/officeDocument/2006/relationships" r:embed="rId65"/>
        <a:stretch>
          <a:fillRect/>
        </a:stretch>
      </xdr:blipFill>
      <xdr:spPr>
        <a:xfrm>
          <a:off x="628650" y="54035325"/>
          <a:ext cx="1060133" cy="1514475"/>
        </a:xfrm>
        <a:prstGeom prst="rect">
          <a:avLst/>
        </a:prstGeom>
      </xdr:spPr>
    </xdr:pic>
    <xdr:clientData/>
  </xdr:twoCellAnchor>
  <xdr:twoCellAnchor>
    <xdr:from>
      <xdr:col>6</xdr:col>
      <xdr:colOff>57150</xdr:colOff>
      <xdr:row>201</xdr:row>
      <xdr:rowOff>19050</xdr:rowOff>
    </xdr:from>
    <xdr:to>
      <xdr:col>7</xdr:col>
      <xdr:colOff>511016</xdr:colOff>
      <xdr:row>206</xdr:row>
      <xdr:rowOff>200025</xdr:rowOff>
    </xdr:to>
    <xdr:pic>
      <xdr:nvPicPr>
        <xdr:cNvPr id="67" name="Picture 66" descr="Call of Duty: Modern Warfare 2 — user-provided workbook cover"/>
        <xdr:cNvPicPr>
          <a:picLocks noChangeAspect="1"/>
        </xdr:cNvPicPr>
      </xdr:nvPicPr>
      <xdr:blipFill>
        <a:blip xmlns:r="http://schemas.openxmlformats.org/officeDocument/2006/relationships" r:embed="rId66"/>
        <a:stretch>
          <a:fillRect/>
        </a:stretch>
      </xdr:blipFill>
      <xdr:spPr>
        <a:xfrm>
          <a:off x="3543300" y="54035325"/>
          <a:ext cx="1034891" cy="1514475"/>
        </a:xfrm>
        <a:prstGeom prst="rect">
          <a:avLst/>
        </a:prstGeom>
      </xdr:spPr>
    </xdr:pic>
    <xdr:clientData/>
  </xdr:twoCellAnchor>
  <xdr:twoCellAnchor>
    <xdr:from>
      <xdr:col>11</xdr:col>
      <xdr:colOff>38100</xdr:colOff>
      <xdr:row>201</xdr:row>
      <xdr:rowOff>19050</xdr:rowOff>
    </xdr:from>
    <xdr:to>
      <xdr:col>12</xdr:col>
      <xdr:colOff>529828</xdr:colOff>
      <xdr:row>206</xdr:row>
      <xdr:rowOff>200025</xdr:rowOff>
    </xdr:to>
    <xdr:pic>
      <xdr:nvPicPr>
        <xdr:cNvPr id="68" name="Picture 67" descr="Call of Duty: Black Ops — user-provided workbook cover"/>
        <xdr:cNvPicPr>
          <a:picLocks noChangeAspect="1"/>
        </xdr:cNvPicPr>
      </xdr:nvPicPr>
      <xdr:blipFill>
        <a:blip xmlns:r="http://schemas.openxmlformats.org/officeDocument/2006/relationships" r:embed="rId67"/>
        <a:stretch>
          <a:fillRect/>
        </a:stretch>
      </xdr:blipFill>
      <xdr:spPr>
        <a:xfrm>
          <a:off x="6429375" y="54035325"/>
          <a:ext cx="1072753" cy="1514475"/>
        </a:xfrm>
        <a:prstGeom prst="rect">
          <a:avLst/>
        </a:prstGeom>
      </xdr:spPr>
    </xdr:pic>
    <xdr:clientData/>
  </xdr:twoCellAnchor>
  <xdr:twoCellAnchor>
    <xdr:from>
      <xdr:col>16</xdr:col>
      <xdr:colOff>28575</xdr:colOff>
      <xdr:row>201</xdr:row>
      <xdr:rowOff>19050</xdr:rowOff>
    </xdr:from>
    <xdr:to>
      <xdr:col>17</xdr:col>
      <xdr:colOff>545544</xdr:colOff>
      <xdr:row>206</xdr:row>
      <xdr:rowOff>200025</xdr:rowOff>
    </xdr:to>
    <xdr:pic>
      <xdr:nvPicPr>
        <xdr:cNvPr id="69" name="Picture 68" descr="Call of Duty: Black Ops II — user-provided workbook cover"/>
        <xdr:cNvPicPr>
          <a:picLocks noChangeAspect="1"/>
        </xdr:cNvPicPr>
      </xdr:nvPicPr>
      <xdr:blipFill>
        <a:blip xmlns:r="http://schemas.openxmlformats.org/officeDocument/2006/relationships" r:embed="rId68"/>
        <a:stretch>
          <a:fillRect/>
        </a:stretch>
      </xdr:blipFill>
      <xdr:spPr>
        <a:xfrm>
          <a:off x="9324975" y="54035325"/>
          <a:ext cx="1097994" cy="1514475"/>
        </a:xfrm>
        <a:prstGeom prst="rect">
          <a:avLst/>
        </a:prstGeom>
      </xdr:spPr>
    </xdr:pic>
    <xdr:clientData/>
  </xdr:twoCellAnchor>
  <xdr:twoCellAnchor>
    <xdr:from>
      <xdr:col>1</xdr:col>
      <xdr:colOff>76200</xdr:colOff>
      <xdr:row>213</xdr:row>
      <xdr:rowOff>19050</xdr:rowOff>
    </xdr:from>
    <xdr:to>
      <xdr:col>2</xdr:col>
      <xdr:colOff>504825</xdr:colOff>
      <xdr:row>218</xdr:row>
      <xdr:rowOff>200025</xdr:rowOff>
    </xdr:to>
    <xdr:pic>
      <xdr:nvPicPr>
        <xdr:cNvPr id="70" name="Picture 69" descr="Battlefield 1 — user-provided workbook cover"/>
        <xdr:cNvPicPr>
          <a:picLocks noChangeAspect="1"/>
        </xdr:cNvPicPr>
      </xdr:nvPicPr>
      <xdr:blipFill>
        <a:blip xmlns:r="http://schemas.openxmlformats.org/officeDocument/2006/relationships" r:embed="rId69"/>
        <a:stretch>
          <a:fillRect/>
        </a:stretch>
      </xdr:blipFill>
      <xdr:spPr>
        <a:xfrm>
          <a:off x="657225" y="57235725"/>
          <a:ext cx="1009650" cy="1514475"/>
        </a:xfrm>
        <a:prstGeom prst="rect">
          <a:avLst/>
        </a:prstGeom>
      </xdr:spPr>
    </xdr:pic>
    <xdr:clientData/>
  </xdr:twoCellAnchor>
  <xdr:twoCellAnchor>
    <xdr:from>
      <xdr:col>6</xdr:col>
      <xdr:colOff>57150</xdr:colOff>
      <xdr:row>213</xdr:row>
      <xdr:rowOff>19050</xdr:rowOff>
    </xdr:from>
    <xdr:to>
      <xdr:col>7</xdr:col>
      <xdr:colOff>523637</xdr:colOff>
      <xdr:row>218</xdr:row>
      <xdr:rowOff>200025</xdr:rowOff>
    </xdr:to>
    <xdr:pic>
      <xdr:nvPicPr>
        <xdr:cNvPr id="71" name="Picture 70" descr="Battlefield 3 — user-provided workbook cover"/>
        <xdr:cNvPicPr>
          <a:picLocks noChangeAspect="1"/>
        </xdr:cNvPicPr>
      </xdr:nvPicPr>
      <xdr:blipFill>
        <a:blip xmlns:r="http://schemas.openxmlformats.org/officeDocument/2006/relationships" r:embed="rId70"/>
        <a:stretch>
          <a:fillRect/>
        </a:stretch>
      </xdr:blipFill>
      <xdr:spPr>
        <a:xfrm>
          <a:off x="3543300" y="57235725"/>
          <a:ext cx="1047512" cy="1514475"/>
        </a:xfrm>
        <a:prstGeom prst="rect">
          <a:avLst/>
        </a:prstGeom>
      </xdr:spPr>
    </xdr:pic>
    <xdr:clientData/>
  </xdr:twoCellAnchor>
  <xdr:twoCellAnchor>
    <xdr:from>
      <xdr:col>11</xdr:col>
      <xdr:colOff>57150</xdr:colOff>
      <xdr:row>213</xdr:row>
      <xdr:rowOff>19050</xdr:rowOff>
    </xdr:from>
    <xdr:to>
      <xdr:col>12</xdr:col>
      <xdr:colOff>511016</xdr:colOff>
      <xdr:row>218</xdr:row>
      <xdr:rowOff>200025</xdr:rowOff>
    </xdr:to>
    <xdr:pic>
      <xdr:nvPicPr>
        <xdr:cNvPr id="72" name="Picture 71" descr="Battlefield 4 — user-provided workbook cover"/>
        <xdr:cNvPicPr>
          <a:picLocks noChangeAspect="1"/>
        </xdr:cNvPicPr>
      </xdr:nvPicPr>
      <xdr:blipFill>
        <a:blip xmlns:r="http://schemas.openxmlformats.org/officeDocument/2006/relationships" r:embed="rId71"/>
        <a:stretch>
          <a:fillRect/>
        </a:stretch>
      </xdr:blipFill>
      <xdr:spPr>
        <a:xfrm>
          <a:off x="6448425" y="57235725"/>
          <a:ext cx="1034891" cy="1514475"/>
        </a:xfrm>
        <a:prstGeom prst="rect">
          <a:avLst/>
        </a:prstGeom>
      </xdr:spPr>
    </xdr:pic>
    <xdr:clientData/>
  </xdr:twoCellAnchor>
  <xdr:twoCellAnchor>
    <xdr:from>
      <xdr:col>16</xdr:col>
      <xdr:colOff>9525</xdr:colOff>
      <xdr:row>213</xdr:row>
      <xdr:rowOff>19050</xdr:rowOff>
    </xdr:from>
    <xdr:to>
      <xdr:col>17</xdr:col>
      <xdr:colOff>564356</xdr:colOff>
      <xdr:row>218</xdr:row>
      <xdr:rowOff>200025</xdr:rowOff>
    </xdr:to>
    <xdr:pic>
      <xdr:nvPicPr>
        <xdr:cNvPr id="73" name="Picture 72" descr="Metal Gear Solid V: The Phantom Pain — user-provided workbook cover"/>
        <xdr:cNvPicPr>
          <a:picLocks noChangeAspect="1"/>
        </xdr:cNvPicPr>
      </xdr:nvPicPr>
      <xdr:blipFill>
        <a:blip xmlns:r="http://schemas.openxmlformats.org/officeDocument/2006/relationships" r:embed="rId72"/>
        <a:stretch>
          <a:fillRect/>
        </a:stretch>
      </xdr:blipFill>
      <xdr:spPr>
        <a:xfrm>
          <a:off x="9305925" y="57235725"/>
          <a:ext cx="1135856" cy="1514475"/>
        </a:xfrm>
        <a:prstGeom prst="rect">
          <a:avLst/>
        </a:prstGeom>
      </xdr:spPr>
    </xdr:pic>
    <xdr:clientData/>
  </xdr:twoCellAnchor>
  <xdr:twoCellAnchor>
    <xdr:from>
      <xdr:col>0</xdr:col>
      <xdr:colOff>571500</xdr:colOff>
      <xdr:row>225</xdr:row>
      <xdr:rowOff>19050</xdr:rowOff>
    </xdr:from>
    <xdr:to>
      <xdr:col>3</xdr:col>
      <xdr:colOff>2143</xdr:colOff>
      <xdr:row>230</xdr:row>
      <xdr:rowOff>200025</xdr:rowOff>
    </xdr:to>
    <xdr:pic>
      <xdr:nvPicPr>
        <xdr:cNvPr id="74" name="Picture 73" descr="Hitman: World of Assassination — user-provided workbook cover"/>
        <xdr:cNvPicPr>
          <a:picLocks noChangeAspect="1"/>
        </xdr:cNvPicPr>
      </xdr:nvPicPr>
      <xdr:blipFill>
        <a:blip xmlns:r="http://schemas.openxmlformats.org/officeDocument/2006/relationships" r:embed="rId73"/>
        <a:stretch>
          <a:fillRect/>
        </a:stretch>
      </xdr:blipFill>
      <xdr:spPr>
        <a:xfrm>
          <a:off x="571500" y="60436125"/>
          <a:ext cx="1173718" cy="1514475"/>
        </a:xfrm>
        <a:prstGeom prst="rect">
          <a:avLst/>
        </a:prstGeom>
      </xdr:spPr>
    </xdr:pic>
    <xdr:clientData/>
  </xdr:twoCellAnchor>
  <xdr:twoCellAnchor>
    <xdr:from>
      <xdr:col>5</xdr:col>
      <xdr:colOff>542925</xdr:colOff>
      <xdr:row>225</xdr:row>
      <xdr:rowOff>19050</xdr:rowOff>
    </xdr:from>
    <xdr:to>
      <xdr:col>8</xdr:col>
      <xdr:colOff>36671</xdr:colOff>
      <xdr:row>230</xdr:row>
      <xdr:rowOff>200025</xdr:rowOff>
    </xdr:to>
    <xdr:pic>
      <xdr:nvPicPr>
        <xdr:cNvPr id="75" name="Picture 74" descr="Dishonored 2 — user-provided workbook cover"/>
        <xdr:cNvPicPr>
          <a:picLocks noChangeAspect="1"/>
        </xdr:cNvPicPr>
      </xdr:nvPicPr>
      <xdr:blipFill>
        <a:blip xmlns:r="http://schemas.openxmlformats.org/officeDocument/2006/relationships" r:embed="rId74"/>
        <a:stretch>
          <a:fillRect/>
        </a:stretch>
      </xdr:blipFill>
      <xdr:spPr>
        <a:xfrm>
          <a:off x="3448050" y="60436125"/>
          <a:ext cx="1236821" cy="1514475"/>
        </a:xfrm>
        <a:prstGeom prst="rect">
          <a:avLst/>
        </a:prstGeom>
      </xdr:spPr>
    </xdr:pic>
    <xdr:clientData/>
  </xdr:twoCellAnchor>
  <xdr:twoCellAnchor>
    <xdr:from>
      <xdr:col>11</xdr:col>
      <xdr:colOff>9525</xdr:colOff>
      <xdr:row>225</xdr:row>
      <xdr:rowOff>19050</xdr:rowOff>
    </xdr:from>
    <xdr:to>
      <xdr:col>12</xdr:col>
      <xdr:colOff>564356</xdr:colOff>
      <xdr:row>230</xdr:row>
      <xdr:rowOff>200025</xdr:rowOff>
    </xdr:to>
    <xdr:pic>
      <xdr:nvPicPr>
        <xdr:cNvPr id="76" name="Picture 75" descr="Prey — user-provided workbook cover"/>
        <xdr:cNvPicPr>
          <a:picLocks noChangeAspect="1"/>
        </xdr:cNvPicPr>
      </xdr:nvPicPr>
      <xdr:blipFill>
        <a:blip xmlns:r="http://schemas.openxmlformats.org/officeDocument/2006/relationships" r:embed="rId75"/>
        <a:stretch>
          <a:fillRect/>
        </a:stretch>
      </xdr:blipFill>
      <xdr:spPr>
        <a:xfrm>
          <a:off x="6400800" y="60436125"/>
          <a:ext cx="1135856" cy="1514475"/>
        </a:xfrm>
        <a:prstGeom prst="rect">
          <a:avLst/>
        </a:prstGeom>
      </xdr:spPr>
    </xdr:pic>
    <xdr:clientData/>
  </xdr:twoCellAnchor>
  <xdr:twoCellAnchor>
    <xdr:from>
      <xdr:col>15</xdr:col>
      <xdr:colOff>542925</xdr:colOff>
      <xdr:row>225</xdr:row>
      <xdr:rowOff>19050</xdr:rowOff>
    </xdr:from>
    <xdr:to>
      <xdr:col>18</xdr:col>
      <xdr:colOff>36671</xdr:colOff>
      <xdr:row>230</xdr:row>
      <xdr:rowOff>200025</xdr:rowOff>
    </xdr:to>
    <xdr:pic>
      <xdr:nvPicPr>
        <xdr:cNvPr id="77" name="Picture 76" descr="The Evil Within 2 — user-provided workbook cover"/>
        <xdr:cNvPicPr>
          <a:picLocks noChangeAspect="1"/>
        </xdr:cNvPicPr>
      </xdr:nvPicPr>
      <xdr:blipFill>
        <a:blip xmlns:r="http://schemas.openxmlformats.org/officeDocument/2006/relationships" r:embed="rId76"/>
        <a:stretch>
          <a:fillRect/>
        </a:stretch>
      </xdr:blipFill>
      <xdr:spPr>
        <a:xfrm>
          <a:off x="9258300" y="60436125"/>
          <a:ext cx="1236821" cy="1514475"/>
        </a:xfrm>
        <a:prstGeom prst="rect">
          <a:avLst/>
        </a:prstGeom>
      </xdr:spPr>
    </xdr:pic>
    <xdr:clientData/>
  </xdr:twoCellAnchor>
  <xdr:twoCellAnchor>
    <xdr:from>
      <xdr:col>1</xdr:col>
      <xdr:colOff>66675</xdr:colOff>
      <xdr:row>237</xdr:row>
      <xdr:rowOff>19050</xdr:rowOff>
    </xdr:from>
    <xdr:to>
      <xdr:col>2</xdr:col>
      <xdr:colOff>507921</xdr:colOff>
      <xdr:row>242</xdr:row>
      <xdr:rowOff>200025</xdr:rowOff>
    </xdr:to>
    <xdr:pic>
      <xdr:nvPicPr>
        <xdr:cNvPr id="78" name="Picture 77" descr="Resident Evil 7: Biohazard — user-provided workbook cover"/>
        <xdr:cNvPicPr>
          <a:picLocks noChangeAspect="1"/>
        </xdr:cNvPicPr>
      </xdr:nvPicPr>
      <xdr:blipFill>
        <a:blip xmlns:r="http://schemas.openxmlformats.org/officeDocument/2006/relationships" r:embed="rId77"/>
        <a:stretch>
          <a:fillRect/>
        </a:stretch>
      </xdr:blipFill>
      <xdr:spPr>
        <a:xfrm>
          <a:off x="647700" y="63636525"/>
          <a:ext cx="1022271" cy="1514475"/>
        </a:xfrm>
        <a:prstGeom prst="rect">
          <a:avLst/>
        </a:prstGeom>
      </xdr:spPr>
    </xdr:pic>
    <xdr:clientData/>
  </xdr:twoCellAnchor>
  <xdr:twoCellAnchor>
    <xdr:from>
      <xdr:col>6</xdr:col>
      <xdr:colOff>9525</xdr:colOff>
      <xdr:row>237</xdr:row>
      <xdr:rowOff>19050</xdr:rowOff>
    </xdr:from>
    <xdr:to>
      <xdr:col>7</xdr:col>
      <xdr:colOff>564356</xdr:colOff>
      <xdr:row>242</xdr:row>
      <xdr:rowOff>200025</xdr:rowOff>
    </xdr:to>
    <xdr:pic>
      <xdr:nvPicPr>
        <xdr:cNvPr id="79" name="Picture 78" descr="Resident Evil 3 — user-provided workbook cover"/>
        <xdr:cNvPicPr>
          <a:picLocks noChangeAspect="1"/>
        </xdr:cNvPicPr>
      </xdr:nvPicPr>
      <xdr:blipFill>
        <a:blip xmlns:r="http://schemas.openxmlformats.org/officeDocument/2006/relationships" r:embed="rId78"/>
        <a:stretch>
          <a:fillRect/>
        </a:stretch>
      </xdr:blipFill>
      <xdr:spPr>
        <a:xfrm>
          <a:off x="3495675" y="63636525"/>
          <a:ext cx="1135856" cy="1514475"/>
        </a:xfrm>
        <a:prstGeom prst="rect">
          <a:avLst/>
        </a:prstGeom>
      </xdr:spPr>
    </xdr:pic>
    <xdr:clientData/>
  </xdr:twoCellAnchor>
  <xdr:twoCellAnchor>
    <xdr:from>
      <xdr:col>11</xdr:col>
      <xdr:colOff>76200</xdr:colOff>
      <xdr:row>237</xdr:row>
      <xdr:rowOff>19050</xdr:rowOff>
    </xdr:from>
    <xdr:to>
      <xdr:col>12</xdr:col>
      <xdr:colOff>504825</xdr:colOff>
      <xdr:row>242</xdr:row>
      <xdr:rowOff>200025</xdr:rowOff>
    </xdr:to>
    <xdr:pic>
      <xdr:nvPicPr>
        <xdr:cNvPr id="80" name="Picture 79" descr="Resident Evil Village — user-provided workbook cover"/>
        <xdr:cNvPicPr>
          <a:picLocks noChangeAspect="1"/>
        </xdr:cNvPicPr>
      </xdr:nvPicPr>
      <xdr:blipFill>
        <a:blip xmlns:r="http://schemas.openxmlformats.org/officeDocument/2006/relationships" r:embed="rId79"/>
        <a:stretch>
          <a:fillRect/>
        </a:stretch>
      </xdr:blipFill>
      <xdr:spPr>
        <a:xfrm>
          <a:off x="6467475" y="63636525"/>
          <a:ext cx="1009650" cy="1514475"/>
        </a:xfrm>
        <a:prstGeom prst="rect">
          <a:avLst/>
        </a:prstGeom>
      </xdr:spPr>
    </xdr:pic>
    <xdr:clientData/>
  </xdr:twoCellAnchor>
  <xdr:twoCellAnchor>
    <xdr:from>
      <xdr:col>15</xdr:col>
      <xdr:colOff>542925</xdr:colOff>
      <xdr:row>237</xdr:row>
      <xdr:rowOff>19050</xdr:rowOff>
    </xdr:from>
    <xdr:to>
      <xdr:col>18</xdr:col>
      <xdr:colOff>36671</xdr:colOff>
      <xdr:row>242</xdr:row>
      <xdr:rowOff>200025</xdr:rowOff>
    </xdr:to>
    <xdr:pic>
      <xdr:nvPicPr>
        <xdr:cNvPr id="81" name="Picture 80" descr="Resident Evil 5 — user-provided workbook cover"/>
        <xdr:cNvPicPr>
          <a:picLocks noChangeAspect="1"/>
        </xdr:cNvPicPr>
      </xdr:nvPicPr>
      <xdr:blipFill>
        <a:blip xmlns:r="http://schemas.openxmlformats.org/officeDocument/2006/relationships" r:embed="rId80"/>
        <a:stretch>
          <a:fillRect/>
        </a:stretch>
      </xdr:blipFill>
      <xdr:spPr>
        <a:xfrm>
          <a:off x="9258300" y="63636525"/>
          <a:ext cx="1236821" cy="1514475"/>
        </a:xfrm>
        <a:prstGeom prst="rect">
          <a:avLst/>
        </a:prstGeom>
      </xdr:spPr>
    </xdr:pic>
    <xdr:clientData/>
  </xdr:twoCellAnchor>
  <xdr:twoCellAnchor>
    <xdr:from>
      <xdr:col>1</xdr:col>
      <xdr:colOff>9525</xdr:colOff>
      <xdr:row>249</xdr:row>
      <xdr:rowOff>19050</xdr:rowOff>
    </xdr:from>
    <xdr:to>
      <xdr:col>2</xdr:col>
      <xdr:colOff>564356</xdr:colOff>
      <xdr:row>254</xdr:row>
      <xdr:rowOff>200025</xdr:rowOff>
    </xdr:to>
    <xdr:pic>
      <xdr:nvPicPr>
        <xdr:cNvPr id="82" name="Picture 81" descr="Shadow of Mordor — user-provided workbook cover"/>
        <xdr:cNvPicPr>
          <a:picLocks noChangeAspect="1"/>
        </xdr:cNvPicPr>
      </xdr:nvPicPr>
      <xdr:blipFill>
        <a:blip xmlns:r="http://schemas.openxmlformats.org/officeDocument/2006/relationships" r:embed="rId81"/>
        <a:stretch>
          <a:fillRect/>
        </a:stretch>
      </xdr:blipFill>
      <xdr:spPr>
        <a:xfrm>
          <a:off x="590550" y="66836925"/>
          <a:ext cx="1135856" cy="1514475"/>
        </a:xfrm>
        <a:prstGeom prst="rect">
          <a:avLst/>
        </a:prstGeom>
      </xdr:spPr>
    </xdr:pic>
    <xdr:clientData/>
  </xdr:twoCellAnchor>
  <xdr:twoCellAnchor>
    <xdr:from>
      <xdr:col>6</xdr:col>
      <xdr:colOff>9525</xdr:colOff>
      <xdr:row>249</xdr:row>
      <xdr:rowOff>19050</xdr:rowOff>
    </xdr:from>
    <xdr:to>
      <xdr:col>7</xdr:col>
      <xdr:colOff>564356</xdr:colOff>
      <xdr:row>254</xdr:row>
      <xdr:rowOff>200025</xdr:rowOff>
    </xdr:to>
    <xdr:pic>
      <xdr:nvPicPr>
        <xdr:cNvPr id="83" name="Picture 82" descr="Middle-earth: Shadow of War — user-provided workbook cover"/>
        <xdr:cNvPicPr>
          <a:picLocks noChangeAspect="1"/>
        </xdr:cNvPicPr>
      </xdr:nvPicPr>
      <xdr:blipFill>
        <a:blip xmlns:r="http://schemas.openxmlformats.org/officeDocument/2006/relationships" r:embed="rId82"/>
        <a:stretch>
          <a:fillRect/>
        </a:stretch>
      </xdr:blipFill>
      <xdr:spPr>
        <a:xfrm>
          <a:off x="3495675" y="66836925"/>
          <a:ext cx="1135856" cy="1514475"/>
        </a:xfrm>
        <a:prstGeom prst="rect">
          <a:avLst/>
        </a:prstGeom>
      </xdr:spPr>
    </xdr:pic>
    <xdr:clientData/>
  </xdr:twoCellAnchor>
  <xdr:twoCellAnchor>
    <xdr:from>
      <xdr:col>11</xdr:col>
      <xdr:colOff>76200</xdr:colOff>
      <xdr:row>249</xdr:row>
      <xdr:rowOff>19050</xdr:rowOff>
    </xdr:from>
    <xdr:to>
      <xdr:col>12</xdr:col>
      <xdr:colOff>504825</xdr:colOff>
      <xdr:row>254</xdr:row>
      <xdr:rowOff>200025</xdr:rowOff>
    </xdr:to>
    <xdr:pic>
      <xdr:nvPicPr>
        <xdr:cNvPr id="84" name="Picture 83" descr="Hogwarts Legacy — user-provided workbook cover"/>
        <xdr:cNvPicPr>
          <a:picLocks noChangeAspect="1"/>
        </xdr:cNvPicPr>
      </xdr:nvPicPr>
      <xdr:blipFill>
        <a:blip xmlns:r="http://schemas.openxmlformats.org/officeDocument/2006/relationships" r:embed="rId83"/>
        <a:stretch>
          <a:fillRect/>
        </a:stretch>
      </xdr:blipFill>
      <xdr:spPr>
        <a:xfrm>
          <a:off x="6467475" y="66836925"/>
          <a:ext cx="1009650" cy="1514475"/>
        </a:xfrm>
        <a:prstGeom prst="rect">
          <a:avLst/>
        </a:prstGeom>
      </xdr:spPr>
    </xdr:pic>
    <xdr:clientData/>
  </xdr:twoCellAnchor>
  <xdr:twoCellAnchor>
    <xdr:from>
      <xdr:col>15</xdr:col>
      <xdr:colOff>523875</xdr:colOff>
      <xdr:row>249</xdr:row>
      <xdr:rowOff>19050</xdr:rowOff>
    </xdr:from>
    <xdr:to>
      <xdr:col>18</xdr:col>
      <xdr:colOff>42863</xdr:colOff>
      <xdr:row>254</xdr:row>
      <xdr:rowOff>200025</xdr:rowOff>
    </xdr:to>
    <xdr:pic>
      <xdr:nvPicPr>
        <xdr:cNvPr id="85" name="Picture 84" descr="Marvel's Spider-Man 2 — user-provided workbook cover"/>
        <xdr:cNvPicPr>
          <a:picLocks noChangeAspect="1"/>
        </xdr:cNvPicPr>
      </xdr:nvPicPr>
      <xdr:blipFill>
        <a:blip xmlns:r="http://schemas.openxmlformats.org/officeDocument/2006/relationships" r:embed="rId84"/>
        <a:stretch>
          <a:fillRect/>
        </a:stretch>
      </xdr:blipFill>
      <xdr:spPr>
        <a:xfrm>
          <a:off x="9239250" y="66836925"/>
          <a:ext cx="1262063" cy="1514475"/>
        </a:xfrm>
        <a:prstGeom prst="rect">
          <a:avLst/>
        </a:prstGeom>
      </xdr:spPr>
    </xdr:pic>
    <xdr:clientData/>
  </xdr:twoCellAnchor>
  <xdr:twoCellAnchor>
    <xdr:from>
      <xdr:col>0</xdr:col>
      <xdr:colOff>571500</xdr:colOff>
      <xdr:row>261</xdr:row>
      <xdr:rowOff>19050</xdr:rowOff>
    </xdr:from>
    <xdr:to>
      <xdr:col>3</xdr:col>
      <xdr:colOff>2143</xdr:colOff>
      <xdr:row>266</xdr:row>
      <xdr:rowOff>200025</xdr:rowOff>
    </xdr:to>
    <xdr:pic>
      <xdr:nvPicPr>
        <xdr:cNvPr id="86" name="Picture 85" descr="Ratchet &amp; Clank: Rift Apart — user-provided workbook cover"/>
        <xdr:cNvPicPr>
          <a:picLocks noChangeAspect="1"/>
        </xdr:cNvPicPr>
      </xdr:nvPicPr>
      <xdr:blipFill>
        <a:blip xmlns:r="http://schemas.openxmlformats.org/officeDocument/2006/relationships" r:embed="rId85"/>
        <a:stretch>
          <a:fillRect/>
        </a:stretch>
      </xdr:blipFill>
      <xdr:spPr>
        <a:xfrm>
          <a:off x="571500" y="70037325"/>
          <a:ext cx="1173718" cy="1514475"/>
        </a:xfrm>
        <a:prstGeom prst="rect">
          <a:avLst/>
        </a:prstGeom>
      </xdr:spPr>
    </xdr:pic>
    <xdr:clientData/>
  </xdr:twoCellAnchor>
  <xdr:twoCellAnchor>
    <xdr:from>
      <xdr:col>6</xdr:col>
      <xdr:colOff>9525</xdr:colOff>
      <xdr:row>261</xdr:row>
      <xdr:rowOff>19050</xdr:rowOff>
    </xdr:from>
    <xdr:to>
      <xdr:col>7</xdr:col>
      <xdr:colOff>564356</xdr:colOff>
      <xdr:row>266</xdr:row>
      <xdr:rowOff>200025</xdr:rowOff>
    </xdr:to>
    <xdr:pic>
      <xdr:nvPicPr>
        <xdr:cNvPr id="87" name="Picture 86" descr="Returnal — user-provided workbook cover"/>
        <xdr:cNvPicPr>
          <a:picLocks noChangeAspect="1"/>
        </xdr:cNvPicPr>
      </xdr:nvPicPr>
      <xdr:blipFill>
        <a:blip xmlns:r="http://schemas.openxmlformats.org/officeDocument/2006/relationships" r:embed="rId86"/>
        <a:stretch>
          <a:fillRect/>
        </a:stretch>
      </xdr:blipFill>
      <xdr:spPr>
        <a:xfrm>
          <a:off x="3495675" y="70037325"/>
          <a:ext cx="1135856" cy="1514475"/>
        </a:xfrm>
        <a:prstGeom prst="rect">
          <a:avLst/>
        </a:prstGeom>
      </xdr:spPr>
    </xdr:pic>
    <xdr:clientData/>
  </xdr:twoCellAnchor>
  <xdr:twoCellAnchor>
    <xdr:from>
      <xdr:col>10</xdr:col>
      <xdr:colOff>542925</xdr:colOff>
      <xdr:row>261</xdr:row>
      <xdr:rowOff>19050</xdr:rowOff>
    </xdr:from>
    <xdr:to>
      <xdr:col>13</xdr:col>
      <xdr:colOff>36671</xdr:colOff>
      <xdr:row>266</xdr:row>
      <xdr:rowOff>200025</xdr:rowOff>
    </xdr:to>
    <xdr:pic>
      <xdr:nvPicPr>
        <xdr:cNvPr id="88" name="Picture 87" descr="Deathloop — user-provided workbook cover"/>
        <xdr:cNvPicPr>
          <a:picLocks noChangeAspect="1"/>
        </xdr:cNvPicPr>
      </xdr:nvPicPr>
      <xdr:blipFill>
        <a:blip xmlns:r="http://schemas.openxmlformats.org/officeDocument/2006/relationships" r:embed="rId87"/>
        <a:stretch>
          <a:fillRect/>
        </a:stretch>
      </xdr:blipFill>
      <xdr:spPr>
        <a:xfrm>
          <a:off x="6353175" y="70037325"/>
          <a:ext cx="1236821" cy="1514475"/>
        </a:xfrm>
        <a:prstGeom prst="rect">
          <a:avLst/>
        </a:prstGeom>
      </xdr:spPr>
    </xdr:pic>
    <xdr:clientData/>
  </xdr:twoCellAnchor>
  <xdr:twoCellAnchor>
    <xdr:from>
      <xdr:col>15</xdr:col>
      <xdr:colOff>419100</xdr:colOff>
      <xdr:row>261</xdr:row>
      <xdr:rowOff>19050</xdr:rowOff>
    </xdr:from>
    <xdr:to>
      <xdr:col>18</xdr:col>
      <xdr:colOff>152400</xdr:colOff>
      <xdr:row>266</xdr:row>
      <xdr:rowOff>161925</xdr:rowOff>
    </xdr:to>
    <xdr:pic>
      <xdr:nvPicPr>
        <xdr:cNvPr id="89" name="Picture 88" descr="Days Gone — user-provided workbook cover"/>
        <xdr:cNvPicPr>
          <a:picLocks noChangeAspect="1"/>
        </xdr:cNvPicPr>
      </xdr:nvPicPr>
      <xdr:blipFill>
        <a:blip xmlns:r="http://schemas.openxmlformats.org/officeDocument/2006/relationships" r:embed="rId88"/>
        <a:stretch>
          <a:fillRect/>
        </a:stretch>
      </xdr:blipFill>
      <xdr:spPr>
        <a:xfrm>
          <a:off x="9134475" y="70037325"/>
          <a:ext cx="1476375" cy="1476375"/>
        </a:xfrm>
        <a:prstGeom prst="rect">
          <a:avLst/>
        </a:prstGeom>
      </xdr:spPr>
    </xdr:pic>
    <xdr:clientData/>
  </xdr:twoCellAnchor>
  <xdr:twoCellAnchor>
    <xdr:from>
      <xdr:col>1</xdr:col>
      <xdr:colOff>0</xdr:colOff>
      <xdr:row>273</xdr:row>
      <xdr:rowOff>19050</xdr:rowOff>
    </xdr:from>
    <xdr:to>
      <xdr:col>2</xdr:col>
      <xdr:colOff>580072</xdr:colOff>
      <xdr:row>278</xdr:row>
      <xdr:rowOff>200025</xdr:rowOff>
    </xdr:to>
    <xdr:pic>
      <xdr:nvPicPr>
        <xdr:cNvPr id="90" name="Picture 89" descr="The Division — user-provided workbook cover"/>
        <xdr:cNvPicPr>
          <a:picLocks noChangeAspect="1"/>
        </xdr:cNvPicPr>
      </xdr:nvPicPr>
      <xdr:blipFill>
        <a:blip xmlns:r="http://schemas.openxmlformats.org/officeDocument/2006/relationships" r:embed="rId89"/>
        <a:stretch>
          <a:fillRect/>
        </a:stretch>
      </xdr:blipFill>
      <xdr:spPr>
        <a:xfrm>
          <a:off x="581025" y="73237725"/>
          <a:ext cx="1161098" cy="1514475"/>
        </a:xfrm>
        <a:prstGeom prst="rect">
          <a:avLst/>
        </a:prstGeom>
      </xdr:spPr>
    </xdr:pic>
    <xdr:clientData/>
  </xdr:twoCellAnchor>
  <xdr:twoCellAnchor>
    <xdr:from>
      <xdr:col>6</xdr:col>
      <xdr:colOff>0</xdr:colOff>
      <xdr:row>273</xdr:row>
      <xdr:rowOff>19050</xdr:rowOff>
    </xdr:from>
    <xdr:to>
      <xdr:col>7</xdr:col>
      <xdr:colOff>580072</xdr:colOff>
      <xdr:row>278</xdr:row>
      <xdr:rowOff>200025</xdr:rowOff>
    </xdr:to>
    <xdr:pic>
      <xdr:nvPicPr>
        <xdr:cNvPr id="91" name="Picture 90" descr="The Division 2 — user-provided workbook cover"/>
        <xdr:cNvPicPr>
          <a:picLocks noChangeAspect="1"/>
        </xdr:cNvPicPr>
      </xdr:nvPicPr>
      <xdr:blipFill>
        <a:blip xmlns:r="http://schemas.openxmlformats.org/officeDocument/2006/relationships" r:embed="rId90"/>
        <a:stretch>
          <a:fillRect/>
        </a:stretch>
      </xdr:blipFill>
      <xdr:spPr>
        <a:xfrm>
          <a:off x="3486150" y="73237725"/>
          <a:ext cx="1161098" cy="1514475"/>
        </a:xfrm>
        <a:prstGeom prst="rect">
          <a:avLst/>
        </a:prstGeom>
      </xdr:spPr>
    </xdr:pic>
    <xdr:clientData/>
  </xdr:twoCellAnchor>
  <xdr:twoCellAnchor>
    <xdr:from>
      <xdr:col>10</xdr:col>
      <xdr:colOff>552450</xdr:colOff>
      <xdr:row>273</xdr:row>
      <xdr:rowOff>19050</xdr:rowOff>
    </xdr:from>
    <xdr:to>
      <xdr:col>13</xdr:col>
      <xdr:colOff>20955</xdr:colOff>
      <xdr:row>278</xdr:row>
      <xdr:rowOff>200025</xdr:rowOff>
    </xdr:to>
    <xdr:pic>
      <xdr:nvPicPr>
        <xdr:cNvPr id="92" name="Picture 91" descr="Assassin's Creed Origins — user-provided workbook cover"/>
        <xdr:cNvPicPr>
          <a:picLocks noChangeAspect="1"/>
        </xdr:cNvPicPr>
      </xdr:nvPicPr>
      <xdr:blipFill>
        <a:blip xmlns:r="http://schemas.openxmlformats.org/officeDocument/2006/relationships" r:embed="rId91"/>
        <a:stretch>
          <a:fillRect/>
        </a:stretch>
      </xdr:blipFill>
      <xdr:spPr>
        <a:xfrm>
          <a:off x="6362700" y="73237725"/>
          <a:ext cx="1211580" cy="1514475"/>
        </a:xfrm>
        <a:prstGeom prst="rect">
          <a:avLst/>
        </a:prstGeom>
      </xdr:spPr>
    </xdr:pic>
    <xdr:clientData/>
  </xdr:twoCellAnchor>
  <xdr:twoCellAnchor>
    <xdr:from>
      <xdr:col>16</xdr:col>
      <xdr:colOff>0</xdr:colOff>
      <xdr:row>273</xdr:row>
      <xdr:rowOff>19050</xdr:rowOff>
    </xdr:from>
    <xdr:to>
      <xdr:col>17</xdr:col>
      <xdr:colOff>580072</xdr:colOff>
      <xdr:row>278</xdr:row>
      <xdr:rowOff>200025</xdr:rowOff>
    </xdr:to>
    <xdr:pic>
      <xdr:nvPicPr>
        <xdr:cNvPr id="93" name="Picture 92" descr="Assassin's Creed Odyssey — user-provided workbook cover"/>
        <xdr:cNvPicPr>
          <a:picLocks noChangeAspect="1"/>
        </xdr:cNvPicPr>
      </xdr:nvPicPr>
      <xdr:blipFill>
        <a:blip xmlns:r="http://schemas.openxmlformats.org/officeDocument/2006/relationships" r:embed="rId92"/>
        <a:stretch>
          <a:fillRect/>
        </a:stretch>
      </xdr:blipFill>
      <xdr:spPr>
        <a:xfrm>
          <a:off x="9296400" y="73237725"/>
          <a:ext cx="1161098" cy="1514475"/>
        </a:xfrm>
        <a:prstGeom prst="rect">
          <a:avLst/>
        </a:prstGeom>
      </xdr:spPr>
    </xdr:pic>
    <xdr:clientData/>
  </xdr:twoCellAnchor>
  <xdr:twoCellAnchor>
    <xdr:from>
      <xdr:col>1</xdr:col>
      <xdr:colOff>0</xdr:colOff>
      <xdr:row>285</xdr:row>
      <xdr:rowOff>19050</xdr:rowOff>
    </xdr:from>
    <xdr:to>
      <xdr:col>2</xdr:col>
      <xdr:colOff>580072</xdr:colOff>
      <xdr:row>290</xdr:row>
      <xdr:rowOff>200025</xdr:rowOff>
    </xdr:to>
    <xdr:pic>
      <xdr:nvPicPr>
        <xdr:cNvPr id="94" name="Picture 93" descr="Assassin's Creed Valhalla — user-provided workbook cover"/>
        <xdr:cNvPicPr>
          <a:picLocks noChangeAspect="1"/>
        </xdr:cNvPicPr>
      </xdr:nvPicPr>
      <xdr:blipFill>
        <a:blip xmlns:r="http://schemas.openxmlformats.org/officeDocument/2006/relationships" r:embed="rId93"/>
        <a:stretch>
          <a:fillRect/>
        </a:stretch>
      </xdr:blipFill>
      <xdr:spPr>
        <a:xfrm>
          <a:off x="581025" y="76438125"/>
          <a:ext cx="1161098" cy="1514475"/>
        </a:xfrm>
        <a:prstGeom prst="rect">
          <a:avLst/>
        </a:prstGeom>
      </xdr:spPr>
    </xdr:pic>
    <xdr:clientData/>
  </xdr:twoCellAnchor>
  <xdr:twoCellAnchor>
    <xdr:from>
      <xdr:col>6</xdr:col>
      <xdr:colOff>0</xdr:colOff>
      <xdr:row>285</xdr:row>
      <xdr:rowOff>19050</xdr:rowOff>
    </xdr:from>
    <xdr:to>
      <xdr:col>7</xdr:col>
      <xdr:colOff>580072</xdr:colOff>
      <xdr:row>290</xdr:row>
      <xdr:rowOff>200025</xdr:rowOff>
    </xdr:to>
    <xdr:pic>
      <xdr:nvPicPr>
        <xdr:cNvPr id="95" name="Picture 94" descr="Watch Dogs 2 — user-provided workbook cover"/>
        <xdr:cNvPicPr>
          <a:picLocks noChangeAspect="1"/>
        </xdr:cNvPicPr>
      </xdr:nvPicPr>
      <xdr:blipFill>
        <a:blip xmlns:r="http://schemas.openxmlformats.org/officeDocument/2006/relationships" r:embed="rId94"/>
        <a:stretch>
          <a:fillRect/>
        </a:stretch>
      </xdr:blipFill>
      <xdr:spPr>
        <a:xfrm>
          <a:off x="3486150" y="76438125"/>
          <a:ext cx="1161098" cy="1514475"/>
        </a:xfrm>
        <a:prstGeom prst="rect">
          <a:avLst/>
        </a:prstGeom>
      </xdr:spPr>
    </xdr:pic>
    <xdr:clientData/>
  </xdr:twoCellAnchor>
  <xdr:twoCellAnchor>
    <xdr:from>
      <xdr:col>11</xdr:col>
      <xdr:colOff>0</xdr:colOff>
      <xdr:row>285</xdr:row>
      <xdr:rowOff>19050</xdr:rowOff>
    </xdr:from>
    <xdr:to>
      <xdr:col>12</xdr:col>
      <xdr:colOff>567452</xdr:colOff>
      <xdr:row>290</xdr:row>
      <xdr:rowOff>200025</xdr:rowOff>
    </xdr:to>
    <xdr:pic>
      <xdr:nvPicPr>
        <xdr:cNvPr id="96" name="Picture 95" descr="Sleeping Dogs — user-provided workbook cover"/>
        <xdr:cNvPicPr>
          <a:picLocks noChangeAspect="1"/>
        </xdr:cNvPicPr>
      </xdr:nvPicPr>
      <xdr:blipFill>
        <a:blip xmlns:r="http://schemas.openxmlformats.org/officeDocument/2006/relationships" r:embed="rId95"/>
        <a:stretch>
          <a:fillRect/>
        </a:stretch>
      </xdr:blipFill>
      <xdr:spPr>
        <a:xfrm>
          <a:off x="6391275" y="76438125"/>
          <a:ext cx="1148477" cy="1514475"/>
        </a:xfrm>
        <a:prstGeom prst="rect">
          <a:avLst/>
        </a:prstGeom>
      </xdr:spPr>
    </xdr:pic>
    <xdr:clientData/>
  </xdr:twoCellAnchor>
  <xdr:twoCellAnchor>
    <xdr:from>
      <xdr:col>15</xdr:col>
      <xdr:colOff>523875</xdr:colOff>
      <xdr:row>285</xdr:row>
      <xdr:rowOff>19050</xdr:rowOff>
    </xdr:from>
    <xdr:to>
      <xdr:col>18</xdr:col>
      <xdr:colOff>55483</xdr:colOff>
      <xdr:row>290</xdr:row>
      <xdr:rowOff>200025</xdr:rowOff>
    </xdr:to>
    <xdr:pic>
      <xdr:nvPicPr>
        <xdr:cNvPr id="97" name="Picture 96" descr="Just Cause 3 — user-provided workbook cover"/>
        <xdr:cNvPicPr>
          <a:picLocks noChangeAspect="1"/>
        </xdr:cNvPicPr>
      </xdr:nvPicPr>
      <xdr:blipFill>
        <a:blip xmlns:r="http://schemas.openxmlformats.org/officeDocument/2006/relationships" r:embed="rId96"/>
        <a:stretch>
          <a:fillRect/>
        </a:stretch>
      </xdr:blipFill>
      <xdr:spPr>
        <a:xfrm>
          <a:off x="9239250" y="76438125"/>
          <a:ext cx="1274683" cy="1514475"/>
        </a:xfrm>
        <a:prstGeom prst="rect">
          <a:avLst/>
        </a:prstGeom>
      </xdr:spPr>
    </xdr:pic>
    <xdr:clientData/>
  </xdr:twoCellAnchor>
  <xdr:twoCellAnchor>
    <xdr:from>
      <xdr:col>0</xdr:col>
      <xdr:colOff>542925</xdr:colOff>
      <xdr:row>297</xdr:row>
      <xdr:rowOff>19050</xdr:rowOff>
    </xdr:from>
    <xdr:to>
      <xdr:col>3</xdr:col>
      <xdr:colOff>24051</xdr:colOff>
      <xdr:row>302</xdr:row>
      <xdr:rowOff>200025</xdr:rowOff>
    </xdr:to>
    <xdr:pic>
      <xdr:nvPicPr>
        <xdr:cNvPr id="98" name="Picture 97" descr="Max Payne 3 — user-provided workbook cover"/>
        <xdr:cNvPicPr>
          <a:picLocks noChangeAspect="1"/>
        </xdr:cNvPicPr>
      </xdr:nvPicPr>
      <xdr:blipFill>
        <a:blip xmlns:r="http://schemas.openxmlformats.org/officeDocument/2006/relationships" r:embed="rId97"/>
        <a:stretch>
          <a:fillRect/>
        </a:stretch>
      </xdr:blipFill>
      <xdr:spPr>
        <a:xfrm>
          <a:off x="542925" y="79638525"/>
          <a:ext cx="1224201" cy="1514475"/>
        </a:xfrm>
        <a:prstGeom prst="rect">
          <a:avLst/>
        </a:prstGeom>
      </xdr:spPr>
    </xdr:pic>
    <xdr:clientData/>
  </xdr:twoCellAnchor>
  <xdr:twoCellAnchor>
    <xdr:from>
      <xdr:col>6</xdr:col>
      <xdr:colOff>9525</xdr:colOff>
      <xdr:row>297</xdr:row>
      <xdr:rowOff>19050</xdr:rowOff>
    </xdr:from>
    <xdr:to>
      <xdr:col>7</xdr:col>
      <xdr:colOff>564356</xdr:colOff>
      <xdr:row>302</xdr:row>
      <xdr:rowOff>200025</xdr:rowOff>
    </xdr:to>
    <xdr:pic>
      <xdr:nvPicPr>
        <xdr:cNvPr id="99" name="Picture 98" descr="Tomb Raider — user-provided workbook cover"/>
        <xdr:cNvPicPr>
          <a:picLocks noChangeAspect="1"/>
        </xdr:cNvPicPr>
      </xdr:nvPicPr>
      <xdr:blipFill>
        <a:blip xmlns:r="http://schemas.openxmlformats.org/officeDocument/2006/relationships" r:embed="rId98"/>
        <a:stretch>
          <a:fillRect/>
        </a:stretch>
      </xdr:blipFill>
      <xdr:spPr>
        <a:xfrm>
          <a:off x="3495675" y="79638525"/>
          <a:ext cx="1135856" cy="1514475"/>
        </a:xfrm>
        <a:prstGeom prst="rect">
          <a:avLst/>
        </a:prstGeom>
      </xdr:spPr>
    </xdr:pic>
    <xdr:clientData/>
  </xdr:twoCellAnchor>
  <xdr:twoCellAnchor>
    <xdr:from>
      <xdr:col>11</xdr:col>
      <xdr:colOff>9525</xdr:colOff>
      <xdr:row>297</xdr:row>
      <xdr:rowOff>19050</xdr:rowOff>
    </xdr:from>
    <xdr:to>
      <xdr:col>12</xdr:col>
      <xdr:colOff>564356</xdr:colOff>
      <xdr:row>302</xdr:row>
      <xdr:rowOff>200025</xdr:rowOff>
    </xdr:to>
    <xdr:pic>
      <xdr:nvPicPr>
        <xdr:cNvPr id="100" name="Picture 99" descr="Rise of the Tomb Raider — user-provided workbook cover"/>
        <xdr:cNvPicPr>
          <a:picLocks noChangeAspect="1"/>
        </xdr:cNvPicPr>
      </xdr:nvPicPr>
      <xdr:blipFill>
        <a:blip xmlns:r="http://schemas.openxmlformats.org/officeDocument/2006/relationships" r:embed="rId99"/>
        <a:stretch>
          <a:fillRect/>
        </a:stretch>
      </xdr:blipFill>
      <xdr:spPr>
        <a:xfrm>
          <a:off x="6400800" y="79638525"/>
          <a:ext cx="1135856" cy="1514475"/>
        </a:xfrm>
        <a:prstGeom prst="rect">
          <a:avLst/>
        </a:prstGeom>
      </xdr:spPr>
    </xdr:pic>
    <xdr:clientData/>
  </xdr:twoCellAnchor>
  <xdr:twoCellAnchor>
    <xdr:from>
      <xdr:col>16</xdr:col>
      <xdr:colOff>9525</xdr:colOff>
      <xdr:row>297</xdr:row>
      <xdr:rowOff>19050</xdr:rowOff>
    </xdr:from>
    <xdr:to>
      <xdr:col>17</xdr:col>
      <xdr:colOff>564356</xdr:colOff>
      <xdr:row>302</xdr:row>
      <xdr:rowOff>200025</xdr:rowOff>
    </xdr:to>
    <xdr:pic>
      <xdr:nvPicPr>
        <xdr:cNvPr id="101" name="Picture 100" descr="L.A. Noire — user-provided workbook cover"/>
        <xdr:cNvPicPr>
          <a:picLocks noChangeAspect="1"/>
        </xdr:cNvPicPr>
      </xdr:nvPicPr>
      <xdr:blipFill>
        <a:blip xmlns:r="http://schemas.openxmlformats.org/officeDocument/2006/relationships" r:embed="rId100"/>
        <a:stretch>
          <a:fillRect/>
        </a:stretch>
      </xdr:blipFill>
      <xdr:spPr>
        <a:xfrm>
          <a:off x="9305925" y="79638525"/>
          <a:ext cx="1135856" cy="1514475"/>
        </a:xfrm>
        <a:prstGeom prst="rect">
          <a:avLst/>
        </a:prstGeom>
      </xdr:spPr>
    </xdr:pic>
    <xdr:clientData/>
  </xdr:twoCellAnchor>
</xdr:wsDr>
</file>

<file path=xl/tables/table1.xml><?xml version="1.0" encoding="utf-8"?>
<table xmlns="http://schemas.openxmlformats.org/spreadsheetml/2006/main" id="1" name="Play100" displayName="Play100" ref="A6:P106" totalsRowShown="0">
  <autoFilter ref="A6:P106"/>
  <tableColumns count="16">
    <tableColumn id="1" name="Rank"/>
    <tableColumn id="2" name="Game"/>
    <tableColumn id="3" name="Tier"/>
    <tableColumn id="4" name="Year"/>
    <tableColumn id="5" name="Publisher / Studio"/>
    <tableColumn id="6" name="Genre"/>
    <tableColumn id="7" name="Metacritic /100"/>
    <tableColumn id="8" name="Metacritic PC /100"/>
    <tableColumn id="9" name="IGN /10"/>
    <tableColumn id="10" name="GameSpot /10"/>
    <tableColumn id="11" name="PC Gamer /100"/>
    <tableColumn id="12" name="Critic average /100"/>
    <tableColumn id="13" name="Leul's original rating /10"/>
    <tableColumn id="14" name="Source note"/>
    <tableColumn id="15" name="Why it ranks here"/>
    <tableColumn id="16" name="Cover"/>
  </tableColumns>
  <tableStyleInfo showFirstColumn="0" showLastColumn="0" showRowStripes="0" showColumnStripes="0"/>
</table>
</file>

<file path=xl/tables/table2.xml><?xml version="1.0" encoding="utf-8"?>
<table xmlns="http://schemas.openxmlformats.org/spreadsheetml/2006/main" id="2" name="Play100Chronology" displayName="Play100Chronology" ref="A6:J106" totalsRowShown="0">
  <autoFilter ref="A6:J106"/>
  <tableColumns count="10">
    <tableColumn id="1" name="Year"/>
    <tableColumn id="2" name="Rank"/>
    <tableColumn id="3" name="Game"/>
    <tableColumn id="4" name="Tier"/>
    <tableColumn id="5" name="Publisher / Studio"/>
    <tableColumn id="6" name="Genre"/>
    <tableColumn id="7" name="Critic average /100"/>
    <tableColumn id="8" name="Leul's original rating /10"/>
    <tableColumn id="9" name="Source note"/>
    <tableColumn id="10" name="Entry"/>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LeulTew/play-100" TargetMode="External"/><Relationship Id="rId2" Type="http://schemas.openxmlformats.org/officeDocument/2006/relationships/hyperlink" Target="https://www.linkedin.com/in/leul-t-agonafer-861bb3336/" TargetMode="External"/><Relationship Id="rId3" Type="http://schemas.openxmlformats.org/officeDocument/2006/relationships/hyperlink" Target="https://t.me/fabbi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LeulTew/play-100" TargetMode="External"/><Relationship Id="rId2" Type="http://schemas.openxmlformats.org/officeDocument/2006/relationships/hyperlink" Target="https://www.linkedin.com/in/leul-t-agonafer-861bb3336/" TargetMode="External"/><Relationship Id="rId3" Type="http://schemas.openxmlformats.org/officeDocument/2006/relationships/hyperlink" Target="https://t.me/fabbin" TargetMode="External"/><Relationship Id="rId4" Type="http://schemas.openxmlformats.org/officeDocument/2006/relationships/vmlDrawing" Target="../drawings/vmlDrawing1.vml"/><Relationship Id="rId5" Type="http://schemas.openxmlformats.org/officeDocument/2006/relationships/table" Target="../tables/table1.xml"/><Relationship Id="rId6"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LeulTew/play-100" TargetMode="External"/><Relationship Id="rId2" Type="http://schemas.openxmlformats.org/officeDocument/2006/relationships/hyperlink" Target="https://www.linkedin.com/in/leul-t-agonafer-861bb3336/" TargetMode="External"/><Relationship Id="rId3" Type="http://schemas.openxmlformats.org/officeDocument/2006/relationships/hyperlink" Target="https://t.me/fabbin"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LeulTew/play-100" TargetMode="External"/><Relationship Id="rId2" Type="http://schemas.openxmlformats.org/officeDocument/2006/relationships/hyperlink" Target="https://www.linkedin.com/in/leul-t-agonafer-861bb3336/" TargetMode="External"/><Relationship Id="rId3" Type="http://schemas.openxmlformats.org/officeDocument/2006/relationships/hyperlink" Target="https://t.me/fabbin"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LeulTew/play-100" TargetMode="External"/><Relationship Id="rId2" Type="http://schemas.openxmlformats.org/officeDocument/2006/relationships/hyperlink" Target="https://www.linkedin.com/in/leul-t-agonafer-861bb3336/" TargetMode="External"/><Relationship Id="rId3" Type="http://schemas.openxmlformats.org/officeDocument/2006/relationships/hyperlink" Target="https://t.me/fabbin" TargetMode="External"/></Relationships>
</file>

<file path=xl/worksheets/sheet1.xml><?xml version="1.0" encoding="utf-8"?>
<worksheet xmlns="http://schemas.openxmlformats.org/spreadsheetml/2006/main" xmlns:r="http://schemas.openxmlformats.org/officeDocument/2006/relationships">
  <sheetPr>
    <tabColor rgb="FF18211C"/>
    <pageSetUpPr fitToPage="1"/>
  </sheetPr>
  <dimension ref="A1:P58"/>
  <sheetViews>
    <sheetView showGridLines="0" tabSelected="1" zoomScale="95" zoomScaleNormal="95" workbookViewId="0"/>
  </sheetViews>
  <sheetFormatPr defaultRowHeight="21" customHeight="1"/>
  <cols>
    <col min="1" max="16" width="9.28515625" style="1" customWidth="1"/>
  </cols>
  <sheetData>
    <row r="1" spans="1:16" ht="41" customHeight="1">
      <c r="A1" s="2" t="s">
        <v>464</v>
      </c>
      <c r="B1" s="2"/>
      <c r="C1" s="2"/>
      <c r="D1" s="2"/>
      <c r="E1" s="2"/>
      <c r="F1" s="2"/>
      <c r="G1" s="2"/>
      <c r="H1" s="2"/>
      <c r="I1" s="2"/>
      <c r="J1" s="2"/>
      <c r="K1" s="3"/>
      <c r="L1" s="3"/>
      <c r="M1" s="3"/>
      <c r="N1" s="3"/>
      <c r="O1" s="3"/>
      <c r="P1" s="3"/>
    </row>
    <row r="2" spans="1:16" ht="32" customHeight="1">
      <c r="A2" s="2"/>
      <c r="B2" s="2"/>
      <c r="C2" s="2"/>
      <c r="D2" s="2"/>
      <c r="E2" s="2"/>
      <c r="F2" s="2"/>
      <c r="G2" s="2"/>
      <c r="H2" s="2"/>
      <c r="I2" s="2"/>
      <c r="J2" s="2"/>
      <c r="K2" s="3"/>
      <c r="L2" s="3"/>
      <c r="M2" s="3"/>
      <c r="N2" s="3"/>
      <c r="O2" s="3"/>
      <c r="P2" s="3"/>
    </row>
    <row r="3" spans="1:16" ht="21" customHeight="1">
      <c r="A3" s="4" t="s">
        <v>465</v>
      </c>
      <c r="B3" s="4"/>
      <c r="C3" s="4"/>
      <c r="D3" s="4"/>
      <c r="E3" s="4"/>
      <c r="F3" s="4"/>
      <c r="G3" s="4"/>
      <c r="H3" s="4"/>
      <c r="I3" s="4"/>
      <c r="J3" s="4"/>
      <c r="K3" s="3"/>
      <c r="L3" s="3"/>
      <c r="M3" s="3"/>
      <c r="N3" s="3"/>
      <c r="O3" s="3"/>
      <c r="P3" s="3"/>
    </row>
    <row r="4" spans="1:16" ht="21" customHeight="1">
      <c r="A4" s="4"/>
      <c r="B4" s="4"/>
      <c r="C4" s="4"/>
      <c r="D4" s="4"/>
      <c r="E4" s="4"/>
      <c r="F4" s="4"/>
      <c r="G4" s="4"/>
      <c r="H4" s="4"/>
      <c r="I4" s="4"/>
      <c r="J4" s="4"/>
      <c r="K4" s="3"/>
      <c r="L4" s="3"/>
      <c r="M4" s="3"/>
      <c r="N4" s="3"/>
      <c r="O4" s="3"/>
      <c r="P4" s="3"/>
    </row>
    <row r="5" spans="1:16" ht="21" customHeight="1">
      <c r="A5" s="3"/>
      <c r="B5" s="3"/>
      <c r="C5" s="3"/>
      <c r="D5" s="3"/>
      <c r="E5" s="3"/>
      <c r="F5" s="3"/>
      <c r="G5" s="3"/>
      <c r="H5" s="3"/>
      <c r="I5" s="3"/>
      <c r="J5" s="3"/>
      <c r="K5" s="3"/>
      <c r="L5" s="3"/>
      <c r="M5" s="3"/>
      <c r="N5" s="3"/>
      <c r="O5" s="3"/>
      <c r="P5" s="3"/>
    </row>
    <row r="6" spans="1:16" ht="21" customHeight="1">
      <c r="A6" s="5" t="s">
        <v>466</v>
      </c>
      <c r="B6" s="5"/>
      <c r="C6" s="5"/>
      <c r="D6" s="5"/>
      <c r="E6" s="5"/>
      <c r="F6" s="5"/>
      <c r="G6" s="5"/>
      <c r="H6" s="5"/>
      <c r="I6" s="5"/>
      <c r="J6" s="5"/>
      <c r="K6" s="3"/>
      <c r="L6" s="3"/>
      <c r="M6" s="3"/>
      <c r="N6" s="3"/>
      <c r="O6" s="3"/>
      <c r="P6" s="3"/>
    </row>
    <row r="7" spans="1:16" ht="21" customHeight="1">
      <c r="A7" s="5"/>
      <c r="B7" s="5"/>
      <c r="C7" s="5"/>
      <c r="D7" s="5"/>
      <c r="E7" s="5"/>
      <c r="F7" s="5"/>
      <c r="G7" s="5"/>
      <c r="H7" s="5"/>
      <c r="I7" s="5"/>
      <c r="J7" s="5"/>
      <c r="K7" s="3"/>
      <c r="L7" s="3"/>
      <c r="M7" s="3"/>
      <c r="N7" s="3"/>
      <c r="O7" s="3"/>
      <c r="P7" s="3"/>
    </row>
    <row r="8" spans="1:16" ht="21" customHeight="1">
      <c r="A8" s="5"/>
      <c r="B8" s="5"/>
      <c r="C8" s="5"/>
      <c r="D8" s="5"/>
      <c r="E8" s="5"/>
      <c r="F8" s="5"/>
      <c r="G8" s="5"/>
      <c r="H8" s="5"/>
      <c r="I8" s="5"/>
      <c r="J8" s="5"/>
      <c r="K8" s="3"/>
      <c r="L8" s="3"/>
      <c r="M8" s="3"/>
      <c r="N8" s="3"/>
      <c r="O8" s="3"/>
      <c r="P8" s="3"/>
    </row>
    <row r="9" spans="1:16" ht="21" customHeight="1">
      <c r="A9" s="3"/>
      <c r="B9" s="3"/>
      <c r="C9" s="3"/>
      <c r="D9" s="3"/>
      <c r="E9" s="3"/>
      <c r="F9" s="3"/>
      <c r="G9" s="3"/>
      <c r="H9" s="3"/>
      <c r="I9" s="3"/>
      <c r="J9" s="3"/>
      <c r="K9" s="3"/>
      <c r="L9" s="3"/>
      <c r="M9" s="3"/>
      <c r="N9" s="3"/>
      <c r="O9" s="3"/>
      <c r="P9" s="3"/>
    </row>
    <row r="10" spans="1:16" ht="21" customHeight="1">
      <c r="A10" s="3"/>
      <c r="B10" s="3"/>
      <c r="C10" s="3"/>
      <c r="D10" s="3"/>
      <c r="E10" s="3"/>
      <c r="F10" s="3"/>
      <c r="G10" s="3"/>
      <c r="H10" s="3"/>
      <c r="I10" s="3"/>
      <c r="J10" s="3"/>
      <c r="K10" s="6" t="s">
        <v>467</v>
      </c>
      <c r="L10" s="6"/>
      <c r="M10" s="6"/>
      <c r="N10" s="6"/>
      <c r="O10" s="6"/>
      <c r="P10" s="6"/>
    </row>
    <row r="11" spans="1:16" ht="21" customHeight="1">
      <c r="A11" s="1"/>
      <c r="B11" s="1"/>
      <c r="C11" s="1"/>
      <c r="D11" s="1"/>
      <c r="E11" s="1"/>
      <c r="F11" s="1"/>
      <c r="G11" s="1"/>
      <c r="H11" s="1"/>
      <c r="I11" s="1"/>
      <c r="J11" s="1"/>
      <c r="K11" s="1"/>
      <c r="L11" s="1"/>
      <c r="M11" s="1"/>
      <c r="N11" s="1"/>
      <c r="O11" s="1"/>
      <c r="P11" s="1"/>
    </row>
    <row r="12" spans="1:16" ht="21" customHeight="1">
      <c r="A12" s="7" t="s">
        <v>468</v>
      </c>
      <c r="B12" s="7"/>
      <c r="C12" s="7"/>
      <c r="D12" s="7"/>
      <c r="E12" s="7" t="s">
        <v>470</v>
      </c>
      <c r="F12" s="7"/>
      <c r="G12" s="7"/>
      <c r="H12" s="7"/>
      <c r="I12" s="7" t="s">
        <v>472</v>
      </c>
      <c r="J12" s="7"/>
      <c r="K12" s="7"/>
      <c r="L12" s="7"/>
      <c r="M12" s="7" t="s">
        <v>468</v>
      </c>
      <c r="N12" s="7"/>
      <c r="O12" s="7"/>
      <c r="P12" s="7"/>
    </row>
    <row r="13" spans="1:16" ht="21" customHeight="1">
      <c r="A13" s="7"/>
      <c r="B13" s="7"/>
      <c r="C13" s="7"/>
      <c r="D13" s="7"/>
      <c r="E13" s="7"/>
      <c r="F13" s="7"/>
      <c r="G13" s="7"/>
      <c r="H13" s="7"/>
      <c r="I13" s="7"/>
      <c r="J13" s="7"/>
      <c r="K13" s="7"/>
      <c r="L13" s="7"/>
      <c r="M13" s="7"/>
      <c r="N13" s="7"/>
      <c r="O13" s="7"/>
      <c r="P13" s="7"/>
    </row>
    <row r="14" spans="1:16" ht="21" customHeight="1">
      <c r="A14" s="8" t="s">
        <v>469</v>
      </c>
      <c r="B14" s="8"/>
      <c r="C14" s="8"/>
      <c r="D14" s="8"/>
      <c r="E14" s="8" t="s">
        <v>471</v>
      </c>
      <c r="F14" s="8"/>
      <c r="G14" s="8"/>
      <c r="H14" s="8"/>
      <c r="I14" s="8" t="s">
        <v>473</v>
      </c>
      <c r="J14" s="8"/>
      <c r="K14" s="8"/>
      <c r="L14" s="8"/>
      <c r="M14" s="8" t="s">
        <v>474</v>
      </c>
      <c r="N14" s="8"/>
      <c r="O14" s="8"/>
      <c r="P14" s="8"/>
    </row>
    <row r="15" spans="1:16" ht="21" customHeight="1">
      <c r="A15" s="1"/>
      <c r="B15" s="1"/>
      <c r="C15" s="1"/>
      <c r="D15" s="1"/>
      <c r="E15" s="1"/>
      <c r="F15" s="1"/>
      <c r="G15" s="1"/>
      <c r="H15" s="1"/>
      <c r="I15" s="1"/>
      <c r="J15" s="1"/>
      <c r="K15" s="1"/>
      <c r="L15" s="1"/>
      <c r="M15" s="1"/>
      <c r="N15" s="1"/>
      <c r="O15" s="1"/>
      <c r="P15" s="1"/>
    </row>
    <row r="16" spans="1:16" ht="21" customHeight="1">
      <c r="A16" s="9" t="s">
        <v>475</v>
      </c>
      <c r="B16" s="9"/>
      <c r="C16" s="9"/>
      <c r="D16" s="9"/>
      <c r="E16" s="9"/>
      <c r="F16" s="9"/>
      <c r="G16" s="9"/>
      <c r="H16" s="9"/>
      <c r="I16" s="9"/>
      <c r="J16" s="9"/>
      <c r="K16" s="9"/>
      <c r="L16" s="9"/>
      <c r="M16" s="9"/>
      <c r="N16" s="9"/>
      <c r="O16" s="9"/>
      <c r="P16" s="9"/>
    </row>
    <row r="17" spans="1:16" ht="21" customHeight="1">
      <c r="A17" s="1"/>
      <c r="B17" s="1"/>
      <c r="C17" s="1"/>
      <c r="D17" s="1"/>
      <c r="E17" s="1"/>
      <c r="F17" s="1"/>
      <c r="G17" s="1"/>
      <c r="H17" s="1"/>
      <c r="I17" s="1"/>
      <c r="J17" s="1"/>
      <c r="K17" s="1"/>
      <c r="L17" s="1"/>
      <c r="M17" s="1"/>
      <c r="N17" s="1"/>
      <c r="O17" s="1"/>
      <c r="P17" s="1"/>
    </row>
    <row r="18" spans="1:16" ht="21" customHeight="1">
      <c r="A18" s="10" t="s">
        <v>476</v>
      </c>
      <c r="B18" s="11"/>
      <c r="C18" s="11"/>
      <c r="D18" s="11"/>
      <c r="E18" s="11"/>
      <c r="F18" s="11"/>
      <c r="G18" s="11"/>
      <c r="H18" s="11"/>
      <c r="I18" s="10" t="s">
        <v>478</v>
      </c>
      <c r="J18" s="11"/>
      <c r="K18" s="11"/>
      <c r="L18" s="11"/>
      <c r="M18" s="11"/>
      <c r="N18" s="11"/>
      <c r="O18" s="11"/>
      <c r="P18" s="11"/>
    </row>
    <row r="19" spans="1:16" ht="21" customHeight="1">
      <c r="A19" s="11"/>
      <c r="B19" s="11"/>
      <c r="C19" s="11"/>
      <c r="D19" s="11"/>
      <c r="E19" s="11"/>
      <c r="F19" s="11"/>
      <c r="G19" s="11"/>
      <c r="H19" s="11"/>
      <c r="I19" s="11"/>
      <c r="J19" s="11"/>
      <c r="K19" s="11"/>
      <c r="L19" s="11"/>
      <c r="M19" s="11"/>
      <c r="N19" s="11"/>
      <c r="O19" s="11"/>
      <c r="P19" s="11"/>
    </row>
    <row r="20" spans="1:16" ht="21" customHeight="1">
      <c r="A20" s="12" t="s">
        <v>477</v>
      </c>
      <c r="B20" s="12"/>
      <c r="C20" s="12"/>
      <c r="D20" s="12"/>
      <c r="E20" s="12"/>
      <c r="F20" s="12"/>
      <c r="G20" s="12"/>
      <c r="H20" s="12"/>
      <c r="I20" s="12" t="s">
        <v>479</v>
      </c>
      <c r="J20" s="12"/>
      <c r="K20" s="12"/>
      <c r="L20" s="12"/>
      <c r="M20" s="12"/>
      <c r="N20" s="12"/>
      <c r="O20" s="12"/>
      <c r="P20" s="12"/>
    </row>
    <row r="21" spans="1:16" ht="21" customHeight="1">
      <c r="A21" s="12"/>
      <c r="B21" s="12"/>
      <c r="C21" s="12"/>
      <c r="D21" s="12"/>
      <c r="E21" s="12"/>
      <c r="F21" s="12"/>
      <c r="G21" s="12"/>
      <c r="H21" s="12"/>
      <c r="I21" s="12"/>
      <c r="J21" s="12"/>
      <c r="K21" s="12"/>
      <c r="L21" s="12"/>
      <c r="M21" s="12"/>
      <c r="N21" s="12"/>
      <c r="O21" s="12"/>
      <c r="P21" s="12"/>
    </row>
    <row r="22" spans="1:16" ht="21" customHeight="1">
      <c r="A22" s="1"/>
      <c r="B22" s="1"/>
      <c r="C22" s="1"/>
      <c r="D22" s="1"/>
      <c r="E22" s="1"/>
      <c r="F22" s="1"/>
      <c r="G22" s="1"/>
      <c r="H22" s="1"/>
      <c r="I22" s="1"/>
      <c r="J22" s="1"/>
      <c r="K22" s="1"/>
      <c r="L22" s="1"/>
      <c r="M22" s="1"/>
      <c r="N22" s="1"/>
      <c r="O22" s="1"/>
      <c r="P22" s="1"/>
    </row>
    <row r="23" spans="1:16" ht="21" customHeight="1">
      <c r="A23" s="10" t="s">
        <v>480</v>
      </c>
      <c r="B23" s="11"/>
      <c r="C23" s="11"/>
      <c r="D23" s="11"/>
      <c r="E23" s="11"/>
      <c r="F23" s="11"/>
      <c r="G23" s="11"/>
      <c r="H23" s="11"/>
      <c r="I23" s="10" t="s">
        <v>482</v>
      </c>
      <c r="J23" s="11"/>
      <c r="K23" s="11"/>
      <c r="L23" s="11"/>
      <c r="M23" s="11"/>
      <c r="N23" s="11"/>
      <c r="O23" s="11"/>
      <c r="P23" s="11"/>
    </row>
    <row r="24" spans="1:16" ht="21" customHeight="1">
      <c r="A24" s="11"/>
      <c r="B24" s="11"/>
      <c r="C24" s="11"/>
      <c r="D24" s="11"/>
      <c r="E24" s="11"/>
      <c r="F24" s="11"/>
      <c r="G24" s="11"/>
      <c r="H24" s="11"/>
      <c r="I24" s="11"/>
      <c r="J24" s="11"/>
      <c r="K24" s="11"/>
      <c r="L24" s="11"/>
      <c r="M24" s="11"/>
      <c r="N24" s="11"/>
      <c r="O24" s="11"/>
      <c r="P24" s="11"/>
    </row>
    <row r="25" spans="1:16" ht="21" customHeight="1">
      <c r="A25" s="12" t="s">
        <v>481</v>
      </c>
      <c r="B25" s="12"/>
      <c r="C25" s="12"/>
      <c r="D25" s="12"/>
      <c r="E25" s="12"/>
      <c r="F25" s="12"/>
      <c r="G25" s="12"/>
      <c r="H25" s="12"/>
      <c r="I25" s="12" t="s">
        <v>483</v>
      </c>
      <c r="J25" s="12"/>
      <c r="K25" s="12"/>
      <c r="L25" s="12"/>
      <c r="M25" s="12"/>
      <c r="N25" s="12"/>
      <c r="O25" s="12"/>
      <c r="P25" s="12"/>
    </row>
    <row r="26" spans="1:16" ht="21" customHeight="1">
      <c r="A26" s="12"/>
      <c r="B26" s="12"/>
      <c r="C26" s="12"/>
      <c r="D26" s="12"/>
      <c r="E26" s="12"/>
      <c r="F26" s="12"/>
      <c r="G26" s="12"/>
      <c r="H26" s="12"/>
      <c r="I26" s="12"/>
      <c r="J26" s="12"/>
      <c r="K26" s="12"/>
      <c r="L26" s="12"/>
      <c r="M26" s="12"/>
      <c r="N26" s="12"/>
      <c r="O26" s="12"/>
      <c r="P26" s="12"/>
    </row>
    <row r="27" spans="1:16" ht="21" customHeight="1">
      <c r="A27" s="1"/>
      <c r="B27" s="1"/>
      <c r="C27" s="1"/>
      <c r="D27" s="1"/>
      <c r="E27" s="1"/>
      <c r="F27" s="1"/>
      <c r="G27" s="1"/>
      <c r="H27" s="1"/>
      <c r="I27" s="1"/>
      <c r="J27" s="1"/>
      <c r="K27" s="1"/>
      <c r="L27" s="1"/>
      <c r="M27" s="1"/>
      <c r="N27" s="1"/>
      <c r="O27" s="1"/>
      <c r="P27" s="1"/>
    </row>
    <row r="28" spans="1:16" ht="21" customHeight="1">
      <c r="A28" s="1"/>
      <c r="B28" s="1"/>
      <c r="C28" s="1"/>
      <c r="D28" s="1"/>
      <c r="E28" s="1"/>
      <c r="F28" s="1"/>
      <c r="G28" s="1"/>
      <c r="H28" s="1"/>
      <c r="I28" s="1"/>
      <c r="J28" s="1"/>
      <c r="K28" s="1"/>
      <c r="L28" s="1"/>
      <c r="M28" s="1"/>
      <c r="N28" s="1"/>
      <c r="O28" s="1"/>
      <c r="P28" s="1"/>
    </row>
    <row r="29" spans="1:16" ht="21" customHeight="1">
      <c r="A29" s="9" t="s">
        <v>484</v>
      </c>
      <c r="B29" s="9"/>
      <c r="C29" s="9"/>
      <c r="D29" s="9"/>
      <c r="E29" s="9"/>
      <c r="F29" s="9"/>
      <c r="G29" s="9"/>
      <c r="H29" s="9"/>
      <c r="I29" s="9"/>
      <c r="J29" s="9"/>
      <c r="K29" s="9"/>
      <c r="L29" s="9"/>
      <c r="M29" s="9"/>
      <c r="N29" s="9"/>
      <c r="O29" s="9"/>
      <c r="P29" s="9"/>
    </row>
    <row r="30" spans="1:16" ht="21" customHeight="1">
      <c r="A30" s="1"/>
      <c r="B30" s="1"/>
      <c r="C30" s="1"/>
      <c r="D30" s="1"/>
      <c r="E30" s="1"/>
      <c r="F30" s="1"/>
      <c r="G30" s="1"/>
      <c r="H30" s="1"/>
      <c r="I30" s="1"/>
      <c r="J30" s="1"/>
      <c r="K30" s="1"/>
      <c r="L30" s="1"/>
      <c r="M30" s="1"/>
      <c r="N30" s="1"/>
      <c r="O30" s="1"/>
      <c r="P30" s="1"/>
    </row>
    <row r="31" spans="1:16" ht="21" customHeight="1">
      <c r="A31" s="13" t="s">
        <v>485</v>
      </c>
      <c r="B31" s="13"/>
      <c r="C31" s="13"/>
      <c r="D31" s="13"/>
      <c r="E31" s="13" t="s">
        <v>486</v>
      </c>
      <c r="F31" s="13"/>
      <c r="G31" s="13"/>
      <c r="H31" s="13"/>
      <c r="I31" s="13" t="s">
        <v>487</v>
      </c>
      <c r="J31" s="13"/>
      <c r="K31" s="13"/>
      <c r="L31" s="13"/>
      <c r="M31" s="13" t="s">
        <v>488</v>
      </c>
      <c r="N31" s="13"/>
      <c r="O31" s="13"/>
      <c r="P31" s="13"/>
    </row>
    <row r="32" spans="1:16" ht="21" customHeight="1">
      <c r="A32" s="13"/>
      <c r="B32" s="13"/>
      <c r="C32" s="13"/>
      <c r="D32" s="13"/>
      <c r="E32" s="13"/>
      <c r="F32" s="13"/>
      <c r="G32" s="13"/>
      <c r="H32" s="13"/>
      <c r="I32" s="13"/>
      <c r="J32" s="13"/>
      <c r="K32" s="13"/>
      <c r="L32" s="13"/>
      <c r="M32" s="13"/>
      <c r="N32" s="13"/>
      <c r="O32" s="13"/>
      <c r="P32" s="13"/>
    </row>
    <row r="33" spans="1:16" ht="21" customHeight="1">
      <c r="A33" s="13"/>
      <c r="B33" s="13"/>
      <c r="C33" s="13"/>
      <c r="D33" s="13"/>
      <c r="E33" s="13"/>
      <c r="F33" s="13"/>
      <c r="G33" s="13"/>
      <c r="H33" s="13"/>
      <c r="I33" s="13"/>
      <c r="J33" s="13"/>
      <c r="K33" s="13"/>
      <c r="L33" s="13"/>
      <c r="M33" s="13"/>
      <c r="N33" s="13"/>
      <c r="O33" s="13"/>
      <c r="P33" s="13"/>
    </row>
    <row r="34" spans="1:16" ht="21" customHeight="1">
      <c r="A34" s="13"/>
      <c r="B34" s="13"/>
      <c r="C34" s="13"/>
      <c r="D34" s="13"/>
      <c r="E34" s="13"/>
      <c r="F34" s="13"/>
      <c r="G34" s="13"/>
      <c r="H34" s="13"/>
      <c r="I34" s="13"/>
      <c r="J34" s="13"/>
      <c r="K34" s="13"/>
      <c r="L34" s="13"/>
      <c r="M34" s="13"/>
      <c r="N34" s="13"/>
      <c r="O34" s="13"/>
      <c r="P34" s="13"/>
    </row>
    <row r="35" spans="1:16" ht="21" customHeight="1">
      <c r="A35" s="1"/>
      <c r="B35" s="1"/>
      <c r="C35" s="1"/>
      <c r="D35" s="1"/>
      <c r="E35" s="1"/>
      <c r="F35" s="1"/>
      <c r="G35" s="1"/>
      <c r="H35" s="1"/>
      <c r="I35" s="1"/>
      <c r="J35" s="1"/>
      <c r="K35" s="1"/>
      <c r="L35" s="1"/>
      <c r="M35" s="1"/>
      <c r="N35" s="1"/>
      <c r="O35" s="1"/>
      <c r="P35" s="1"/>
    </row>
    <row r="36" spans="1:16" ht="21" customHeight="1">
      <c r="A36" s="1"/>
      <c r="B36" s="1"/>
      <c r="C36" s="1"/>
      <c r="D36" s="1"/>
      <c r="E36" s="1"/>
      <c r="F36" s="1"/>
      <c r="G36" s="1"/>
      <c r="H36" s="1"/>
      <c r="I36" s="1"/>
      <c r="J36" s="1"/>
      <c r="K36" s="1"/>
      <c r="L36" s="1"/>
      <c r="M36" s="1"/>
      <c r="N36" s="1"/>
      <c r="O36" s="1"/>
      <c r="P36" s="1"/>
    </row>
    <row r="37" spans="1:16" ht="21" customHeight="1">
      <c r="A37" s="12" t="s">
        <v>489</v>
      </c>
      <c r="B37" s="12"/>
      <c r="C37" s="12"/>
      <c r="D37" s="12"/>
      <c r="E37" s="12"/>
      <c r="F37" s="12"/>
      <c r="G37" s="12"/>
      <c r="H37" s="12"/>
      <c r="I37" s="12"/>
      <c r="J37" s="12"/>
      <c r="K37" s="12"/>
      <c r="L37" s="12"/>
      <c r="M37" s="12"/>
      <c r="N37" s="12"/>
      <c r="O37" s="12"/>
      <c r="P37" s="12"/>
    </row>
    <row r="38" spans="1:16" ht="21" customHeight="1">
      <c r="A38" s="12"/>
      <c r="B38" s="12"/>
      <c r="C38" s="12"/>
      <c r="D38" s="12"/>
      <c r="E38" s="12"/>
      <c r="F38" s="12"/>
      <c r="G38" s="12"/>
      <c r="H38" s="12"/>
      <c r="I38" s="12"/>
      <c r="J38" s="12"/>
      <c r="K38" s="12"/>
      <c r="L38" s="12"/>
      <c r="M38" s="12"/>
      <c r="N38" s="12"/>
      <c r="O38" s="12"/>
      <c r="P38" s="12"/>
    </row>
    <row r="39" spans="1:16" ht="21" customHeight="1">
      <c r="A39" s="12"/>
      <c r="B39" s="12"/>
      <c r="C39" s="12"/>
      <c r="D39" s="12"/>
      <c r="E39" s="12"/>
      <c r="F39" s="12"/>
      <c r="G39" s="12"/>
      <c r="H39" s="12"/>
      <c r="I39" s="12"/>
      <c r="J39" s="12"/>
      <c r="K39" s="12"/>
      <c r="L39" s="12"/>
      <c r="M39" s="12"/>
      <c r="N39" s="12"/>
      <c r="O39" s="12"/>
      <c r="P39" s="12"/>
    </row>
    <row r="40" spans="1:16" ht="21" customHeight="1">
      <c r="A40" s="1"/>
      <c r="B40" s="1"/>
      <c r="C40" s="1"/>
      <c r="D40" s="1"/>
      <c r="E40" s="1"/>
      <c r="F40" s="1"/>
      <c r="G40" s="1"/>
      <c r="H40" s="1"/>
      <c r="I40" s="1"/>
      <c r="J40" s="1"/>
      <c r="K40" s="1"/>
      <c r="L40" s="1"/>
      <c r="M40" s="1"/>
      <c r="N40" s="1"/>
      <c r="O40" s="1"/>
      <c r="P40" s="1"/>
    </row>
    <row r="41" spans="1:16" ht="21" customHeight="1">
      <c r="A41" s="1"/>
      <c r="B41" s="1"/>
      <c r="C41" s="1"/>
      <c r="D41" s="1"/>
      <c r="E41" s="1"/>
      <c r="F41" s="1"/>
      <c r="G41" s="1"/>
      <c r="H41" s="1"/>
      <c r="I41" s="1"/>
      <c r="J41" s="1"/>
      <c r="K41" s="1"/>
      <c r="L41" s="1"/>
      <c r="M41" s="1"/>
      <c r="N41" s="1"/>
      <c r="O41" s="1"/>
      <c r="P41" s="1"/>
    </row>
    <row r="42" spans="1:16" ht="21" customHeight="1">
      <c r="A42" s="14" t="s">
        <v>490</v>
      </c>
      <c r="B42" s="14"/>
      <c r="C42" s="14"/>
      <c r="D42" s="14"/>
      <c r="E42" s="14"/>
      <c r="F42" s="14"/>
      <c r="G42" s="14"/>
      <c r="H42" s="14"/>
      <c r="I42" s="14"/>
      <c r="J42" s="14"/>
      <c r="K42" s="14"/>
      <c r="L42" s="14"/>
      <c r="M42" s="14"/>
      <c r="N42" s="14"/>
      <c r="O42" s="14"/>
      <c r="P42" s="14"/>
    </row>
    <row r="43" spans="1:16" ht="21" customHeight="1">
      <c r="A43" s="14"/>
      <c r="B43" s="14"/>
      <c r="C43" s="14"/>
      <c r="D43" s="14"/>
      <c r="E43" s="14"/>
      <c r="F43" s="14"/>
      <c r="G43" s="14"/>
      <c r="H43" s="14"/>
      <c r="I43" s="14"/>
      <c r="J43" s="14"/>
      <c r="K43" s="14"/>
      <c r="L43" s="14"/>
      <c r="M43" s="14"/>
      <c r="N43" s="14"/>
      <c r="O43" s="14"/>
      <c r="P43" s="14"/>
    </row>
    <row r="44" spans="1:16" ht="21" customHeight="1">
      <c r="A44" s="14"/>
      <c r="B44" s="14"/>
      <c r="C44" s="14"/>
      <c r="D44" s="14"/>
      <c r="E44" s="14"/>
      <c r="F44" s="14"/>
      <c r="G44" s="14"/>
      <c r="H44" s="14"/>
      <c r="I44" s="14"/>
      <c r="J44" s="14"/>
      <c r="K44" s="14"/>
      <c r="L44" s="14"/>
      <c r="M44" s="14"/>
      <c r="N44" s="14"/>
      <c r="O44" s="14"/>
      <c r="P44" s="14"/>
    </row>
    <row r="45" spans="1:16" ht="21" customHeight="1">
      <c r="A45" s="1"/>
      <c r="B45" s="1"/>
      <c r="C45" s="1"/>
      <c r="D45" s="1"/>
      <c r="E45" s="1"/>
      <c r="F45" s="1"/>
      <c r="G45" s="1"/>
      <c r="H45" s="1"/>
      <c r="I45" s="1"/>
      <c r="J45" s="1"/>
      <c r="K45" s="1"/>
      <c r="L45" s="1"/>
      <c r="M45" s="1"/>
      <c r="N45" s="1"/>
      <c r="O45" s="1"/>
      <c r="P45" s="1"/>
    </row>
    <row r="46" spans="1:16" ht="21" customHeight="1">
      <c r="A46" s="1"/>
      <c r="B46" s="1"/>
      <c r="C46" s="1"/>
      <c r="D46" s="1"/>
      <c r="E46" s="1"/>
      <c r="F46" s="1"/>
      <c r="G46" s="1"/>
      <c r="H46" s="1"/>
      <c r="I46" s="1"/>
      <c r="J46" s="1"/>
      <c r="K46" s="1"/>
      <c r="L46" s="1"/>
      <c r="M46" s="1"/>
      <c r="N46" s="1"/>
      <c r="O46" s="1"/>
      <c r="P46" s="1"/>
    </row>
    <row r="47" spans="1:16" ht="21" customHeight="1">
      <c r="A47" s="15" t="s">
        <v>491</v>
      </c>
      <c r="B47" s="15"/>
      <c r="C47" s="15"/>
      <c r="D47" s="15"/>
      <c r="E47" s="15"/>
      <c r="F47" s="15"/>
      <c r="G47" s="15"/>
      <c r="H47" s="15"/>
      <c r="I47" s="15"/>
      <c r="J47" s="15"/>
      <c r="K47" s="15"/>
      <c r="L47" s="15"/>
      <c r="M47" s="15"/>
      <c r="N47" s="15"/>
      <c r="O47" s="15"/>
      <c r="P47" s="15"/>
    </row>
    <row r="48" spans="1:16" ht="21" customHeight="1">
      <c r="A48" s="15"/>
      <c r="B48" s="15"/>
      <c r="C48" s="15"/>
      <c r="D48" s="15"/>
      <c r="E48" s="15"/>
      <c r="F48" s="15"/>
      <c r="G48" s="15"/>
      <c r="H48" s="15"/>
      <c r="I48" s="15"/>
      <c r="J48" s="15"/>
      <c r="K48" s="15"/>
      <c r="L48" s="15"/>
      <c r="M48" s="15"/>
      <c r="N48" s="15"/>
      <c r="O48" s="15"/>
      <c r="P48" s="15"/>
    </row>
    <row r="49" spans="1:16" ht="21" customHeight="1">
      <c r="A49" s="15"/>
      <c r="B49" s="15"/>
      <c r="C49" s="15"/>
      <c r="D49" s="15"/>
      <c r="E49" s="15"/>
      <c r="F49" s="15"/>
      <c r="G49" s="15"/>
      <c r="H49" s="15"/>
      <c r="I49" s="15"/>
      <c r="J49" s="15"/>
      <c r="K49" s="15"/>
      <c r="L49" s="15"/>
      <c r="M49" s="15"/>
      <c r="N49" s="15"/>
      <c r="O49" s="15"/>
      <c r="P49" s="15"/>
    </row>
    <row r="50" spans="1:16" ht="21" customHeight="1">
      <c r="A50" s="1"/>
      <c r="B50" s="1"/>
      <c r="C50" s="1"/>
      <c r="D50" s="1"/>
      <c r="E50" s="1"/>
      <c r="F50" s="1"/>
      <c r="G50" s="1"/>
      <c r="H50" s="1"/>
      <c r="I50" s="1"/>
      <c r="J50" s="1"/>
      <c r="K50" s="1"/>
      <c r="L50" s="1"/>
      <c r="M50" s="1"/>
      <c r="N50" s="1"/>
      <c r="O50" s="1"/>
      <c r="P50" s="1"/>
    </row>
    <row r="51" spans="1:16" ht="21" customHeight="1">
      <c r="A51" s="1"/>
      <c r="B51" s="1"/>
      <c r="C51" s="1"/>
      <c r="D51" s="1"/>
      <c r="E51" s="1"/>
      <c r="F51" s="1"/>
      <c r="G51" s="1"/>
      <c r="H51" s="1"/>
      <c r="I51" s="1"/>
      <c r="J51" s="1"/>
      <c r="K51" s="1"/>
      <c r="L51" s="1"/>
      <c r="M51" s="1"/>
      <c r="N51" s="1"/>
      <c r="O51" s="1"/>
      <c r="P51" s="1"/>
    </row>
    <row r="52" spans="1:16" ht="21" customHeight="1">
      <c r="A52" s="16" t="s">
        <v>492</v>
      </c>
      <c r="B52" s="16"/>
      <c r="C52" s="16"/>
      <c r="D52" s="16"/>
      <c r="E52" s="16"/>
      <c r="F52" s="16"/>
      <c r="G52" s="16"/>
      <c r="H52" s="16"/>
      <c r="I52" s="16"/>
      <c r="J52" s="16"/>
      <c r="K52" s="16"/>
      <c r="L52" s="16"/>
      <c r="M52" s="16"/>
      <c r="N52" s="16"/>
      <c r="O52" s="16"/>
      <c r="P52" s="16"/>
    </row>
    <row r="53" spans="1:16" ht="21" customHeight="1">
      <c r="A53" s="16"/>
      <c r="B53" s="16"/>
      <c r="C53" s="16"/>
      <c r="D53" s="16"/>
      <c r="E53" s="16"/>
      <c r="F53" s="16"/>
      <c r="G53" s="16"/>
      <c r="H53" s="16"/>
      <c r="I53" s="16"/>
      <c r="J53" s="16"/>
      <c r="K53" s="16"/>
      <c r="L53" s="16"/>
      <c r="M53" s="16"/>
      <c r="N53" s="16"/>
      <c r="O53" s="16"/>
      <c r="P53" s="16"/>
    </row>
    <row r="54" spans="1:16" ht="21" customHeight="1">
      <c r="A54" s="16"/>
      <c r="B54" s="16"/>
      <c r="C54" s="16"/>
      <c r="D54" s="16"/>
      <c r="E54" s="16"/>
      <c r="F54" s="16"/>
      <c r="G54" s="16"/>
      <c r="H54" s="16"/>
      <c r="I54" s="16"/>
      <c r="J54" s="16"/>
      <c r="K54" s="16"/>
      <c r="L54" s="16"/>
      <c r="M54" s="16"/>
      <c r="N54" s="16"/>
      <c r="O54" s="16"/>
      <c r="P54" s="16"/>
    </row>
    <row r="55" spans="1:16" ht="21" customHeight="1">
      <c r="A55" s="1"/>
      <c r="B55" s="1"/>
      <c r="C55" s="1"/>
      <c r="D55" s="1"/>
      <c r="E55" s="1"/>
      <c r="F55" s="1"/>
      <c r="G55" s="1"/>
      <c r="H55" s="1"/>
      <c r="I55" s="1"/>
      <c r="J55" s="1"/>
      <c r="K55" s="1"/>
      <c r="L55" s="1"/>
      <c r="M55" s="1"/>
      <c r="N55" s="1"/>
      <c r="O55" s="1"/>
      <c r="P55" s="1"/>
    </row>
    <row r="56" spans="1:16" ht="21" customHeight="1">
      <c r="A56" s="1"/>
      <c r="B56" s="1"/>
      <c r="C56" s="1"/>
      <c r="D56" s="1"/>
      <c r="E56" s="1"/>
      <c r="F56" s="1"/>
      <c r="G56" s="1"/>
      <c r="H56" s="1"/>
      <c r="I56" s="1"/>
      <c r="J56" s="1"/>
      <c r="K56" s="1"/>
      <c r="L56" s="1"/>
      <c r="M56" s="1"/>
      <c r="N56" s="1"/>
      <c r="O56" s="1"/>
      <c r="P56" s="1"/>
    </row>
    <row r="57" spans="1:16" ht="25" customHeight="1">
      <c r="A57" s="9" t="s">
        <v>530</v>
      </c>
      <c r="B57" s="9"/>
      <c r="C57" s="9"/>
      <c r="D57" s="9"/>
      <c r="E57" s="9"/>
      <c r="F57" s="9"/>
      <c r="G57" s="9"/>
      <c r="H57" s="9"/>
      <c r="I57" s="9"/>
      <c r="J57" s="9"/>
      <c r="K57" s="9"/>
      <c r="L57" s="9"/>
      <c r="M57" s="9"/>
      <c r="N57" s="9"/>
      <c r="O57" s="9"/>
      <c r="P57" s="9"/>
    </row>
    <row r="58" spans="1:16" ht="32" customHeight="1">
      <c r="A58" s="17" t="s">
        <v>531</v>
      </c>
      <c r="B58" s="17"/>
      <c r="C58" s="17"/>
      <c r="D58" s="17"/>
      <c r="E58" s="17"/>
      <c r="F58" s="17" t="s">
        <v>532</v>
      </c>
      <c r="G58" s="17"/>
      <c r="H58" s="17"/>
      <c r="I58" s="17"/>
      <c r="J58" s="17"/>
      <c r="K58" s="17" t="s">
        <v>533</v>
      </c>
      <c r="L58" s="17"/>
      <c r="M58" s="17"/>
      <c r="N58" s="17"/>
      <c r="O58" s="17"/>
      <c r="P58" s="17"/>
    </row>
  </sheetData>
  <mergeCells count="35">
    <mergeCell ref="A1:J2"/>
    <mergeCell ref="A3:J4"/>
    <mergeCell ref="A6:J8"/>
    <mergeCell ref="K1:P9"/>
    <mergeCell ref="K10:P10"/>
    <mergeCell ref="A12:D13"/>
    <mergeCell ref="A14:D14"/>
    <mergeCell ref="E12:H13"/>
    <mergeCell ref="E14:H14"/>
    <mergeCell ref="I12:L13"/>
    <mergeCell ref="I14:L14"/>
    <mergeCell ref="M12:P13"/>
    <mergeCell ref="M14:P14"/>
    <mergeCell ref="A16:P16"/>
    <mergeCell ref="A18:H19"/>
    <mergeCell ref="A20:H21"/>
    <mergeCell ref="I18:P19"/>
    <mergeCell ref="I20:P21"/>
    <mergeCell ref="A23:H24"/>
    <mergeCell ref="A25:H26"/>
    <mergeCell ref="I23:P24"/>
    <mergeCell ref="I25:P26"/>
    <mergeCell ref="A29:P29"/>
    <mergeCell ref="A31:D34"/>
    <mergeCell ref="E31:H34"/>
    <mergeCell ref="I31:L34"/>
    <mergeCell ref="M31:P34"/>
    <mergeCell ref="A37:P39"/>
    <mergeCell ref="A42:P44"/>
    <mergeCell ref="A47:P49"/>
    <mergeCell ref="A52:P54"/>
    <mergeCell ref="A57:P57"/>
    <mergeCell ref="A58:E58"/>
    <mergeCell ref="F58:J58"/>
    <mergeCell ref="K58:P58"/>
  </mergeCells>
  <hyperlinks>
    <hyperlink ref="A18" location="'The 100'!A1" display="01  THE 100 →"/>
    <hyperlink ref="I18" location="'Chronology'!A1" display="02  CHRONOLOGY →"/>
    <hyperlink ref="A23" location="'Cover Gallery'!A1" display="03  COVER GALLERY →"/>
    <hyperlink ref="I23" location="'Methodology'!A1" display="04  METHODOLOGY →"/>
    <hyperlink ref="A58" r:id="rId1"/>
    <hyperlink ref="F58" r:id="rId2"/>
    <hyperlink ref="K58" r:id="rId3"/>
  </hyperlinks>
  <pageMargins left="0.3" right="0.3" top="0.4" bottom="0.4" header="0.15" footer="0.15"/>
  <pageSetup paperSize="9" orientation="portrait"/>
  <headerFooter>
    <oddHeader>&amp;LPlay 100&amp;RUser-curated collection</oddHeader>
    <oddFooter>&amp;L&amp;8Curated by Leul Tewodros Agonafer
https://github.com/LeulTew/play-100&amp;C&amp;8https://www.linkedin.com/in/leul-t-agonafer-861bb3336/
https://t.me/fabbin&amp;R&amp;8&amp;P / &amp;N</oddFooter>
  </headerFooter>
  <drawing r:id="rId4"/>
</worksheet>
</file>

<file path=xl/worksheets/sheet2.xml><?xml version="1.0" encoding="utf-8"?>
<worksheet xmlns="http://schemas.openxmlformats.org/spreadsheetml/2006/main" xmlns:r="http://schemas.openxmlformats.org/officeDocument/2006/relationships">
  <sheetPr>
    <tabColor rgb="FFD3EA82"/>
    <pageSetUpPr fitToPage="1"/>
  </sheetPr>
  <dimension ref="A1:P111"/>
  <sheetViews>
    <sheetView showGridLines="0" zoomScale="85" zoomScaleNormal="85" workbookViewId="0">
      <pane xSplit="2" ySplit="6" topLeftCell="C7" activePane="bottomRight" state="frozen"/>
      <selection pane="topRight" activeCell="C1" sqref="C1"/>
      <selection pane="bottomLeft" activeCell="A7" sqref="A7"/>
      <selection pane="bottomRight" activeCell="B7" sqref="B7"/>
    </sheetView>
  </sheetViews>
  <sheetFormatPr defaultRowHeight="21" customHeight="1"/>
  <cols>
    <col min="1" max="1" width="7.7109375" style="1" customWidth="1"/>
    <col min="2" max="2" width="40.7109375" style="1" customWidth="1"/>
    <col min="3" max="3" width="14.7109375" style="1" customWidth="1"/>
    <col min="4" max="4" width="9.7109375" style="1" customWidth="1"/>
    <col min="5" max="5" width="33.7109375" style="1" customWidth="1"/>
    <col min="6" max="6" width="30.7109375" style="1" customWidth="1"/>
    <col min="7" max="7" width="14.7109375" style="1" customWidth="1"/>
    <col min="8" max="8" width="16.7109375" style="1" customWidth="1"/>
    <col min="9" max="9" width="11.7109375" style="1" customWidth="1"/>
    <col min="10" max="10" width="13.7109375" style="1" customWidth="1"/>
    <col min="11" max="11" width="14.7109375" style="1" customWidth="1"/>
    <col min="12" max="12" width="17.7109375" style="1" customWidth="1"/>
    <col min="13" max="13" width="15.7109375" style="1" customWidth="1"/>
    <col min="14" max="14" width="26.7109375" style="1" customWidth="1"/>
    <col min="15" max="15" width="72.7109375" style="1" customWidth="1"/>
    <col min="16" max="16" width="12.7109375" style="1" customWidth="1"/>
  </cols>
  <sheetData>
    <row r="1" spans="1:16" ht="44" customHeight="1">
      <c r="A1" s="18" t="s">
        <v>0</v>
      </c>
      <c r="B1" s="18"/>
      <c r="C1" s="18"/>
      <c r="D1" s="18"/>
      <c r="E1" s="18"/>
      <c r="F1" s="18"/>
      <c r="G1" s="18"/>
      <c r="H1" s="18"/>
      <c r="I1" s="18"/>
      <c r="J1" s="18"/>
      <c r="K1" s="18"/>
      <c r="L1" s="18"/>
      <c r="M1" s="18"/>
      <c r="N1" s="18"/>
      <c r="O1" s="18"/>
      <c r="P1" s="18"/>
    </row>
    <row r="2" spans="1:16" ht="31" customHeight="1">
      <c r="A2" s="14" t="s">
        <v>1</v>
      </c>
      <c r="B2" s="14"/>
      <c r="C2" s="14"/>
      <c r="D2" s="14"/>
      <c r="E2" s="14"/>
      <c r="F2" s="14"/>
      <c r="G2" s="14"/>
      <c r="H2" s="14"/>
      <c r="I2" s="14"/>
      <c r="J2" s="14"/>
      <c r="K2" s="14"/>
      <c r="L2" s="14"/>
      <c r="M2" s="14"/>
      <c r="N2" s="14"/>
      <c r="O2" s="14"/>
      <c r="P2" s="14"/>
    </row>
    <row r="3" spans="1:16" ht="21" customHeight="1">
      <c r="A3" s="1"/>
      <c r="B3" s="1"/>
      <c r="C3" s="1"/>
      <c r="D3" s="1"/>
      <c r="E3" s="1"/>
      <c r="F3" s="1"/>
      <c r="G3" s="1"/>
      <c r="H3" s="1"/>
      <c r="I3" s="1"/>
      <c r="J3" s="1"/>
      <c r="K3" s="1"/>
      <c r="L3" s="1"/>
      <c r="M3" s="1"/>
      <c r="N3" s="1"/>
      <c r="O3" s="1"/>
      <c r="P3" s="1"/>
    </row>
    <row r="4" spans="1:16" ht="21" customHeight="1">
      <c r="A4" s="19" t="s">
        <v>2</v>
      </c>
      <c r="B4" s="1"/>
      <c r="C4" s="19" t="s">
        <v>3</v>
      </c>
      <c r="D4" s="1"/>
      <c r="E4" s="1"/>
      <c r="F4" s="19" t="s">
        <v>4</v>
      </c>
      <c r="G4" s="1"/>
      <c r="H4" s="1"/>
      <c r="I4" s="19" t="s">
        <v>5</v>
      </c>
      <c r="J4" s="1"/>
      <c r="K4" s="1"/>
      <c r="L4" s="1"/>
      <c r="M4" s="1"/>
      <c r="N4" s="1"/>
      <c r="O4" s="1"/>
      <c r="P4" s="1"/>
    </row>
    <row r="5" spans="1:16" ht="21" customHeight="1">
      <c r="A5" s="15" t="s">
        <v>6</v>
      </c>
      <c r="B5" s="15"/>
      <c r="C5" s="15"/>
      <c r="D5" s="15"/>
      <c r="E5" s="15"/>
      <c r="F5" s="15"/>
      <c r="G5" s="15"/>
      <c r="H5" s="15"/>
      <c r="I5" s="15"/>
      <c r="J5" s="15"/>
      <c r="K5" s="15"/>
      <c r="L5" s="15"/>
      <c r="M5" s="15"/>
      <c r="N5" s="15"/>
      <c r="O5" s="15"/>
      <c r="P5" s="15"/>
    </row>
    <row r="6" spans="1:16" ht="40" customHeight="1">
      <c r="A6" s="20" t="s">
        <v>297</v>
      </c>
      <c r="B6" s="20" t="s">
        <v>298</v>
      </c>
      <c r="C6" s="20" t="s">
        <v>299</v>
      </c>
      <c r="D6" s="20" t="s">
        <v>300</v>
      </c>
      <c r="E6" s="20" t="s">
        <v>301</v>
      </c>
      <c r="F6" s="20" t="s">
        <v>302</v>
      </c>
      <c r="G6" s="20" t="s">
        <v>303</v>
      </c>
      <c r="H6" s="20" t="s">
        <v>304</v>
      </c>
      <c r="I6" s="20" t="s">
        <v>305</v>
      </c>
      <c r="J6" s="20" t="s">
        <v>306</v>
      </c>
      <c r="K6" s="20" t="s">
        <v>307</v>
      </c>
      <c r="L6" s="20" t="s">
        <v>308</v>
      </c>
      <c r="M6" s="20" t="s">
        <v>309</v>
      </c>
      <c r="N6" s="20" t="s">
        <v>310</v>
      </c>
      <c r="O6" s="20" t="s">
        <v>311</v>
      </c>
      <c r="P6" s="20" t="s">
        <v>312</v>
      </c>
    </row>
    <row r="7" spans="1:16" ht="64" customHeight="1">
      <c r="A7" s="21">
        <v>1</v>
      </c>
      <c r="B7" s="22" t="s">
        <v>7</v>
      </c>
      <c r="C7" s="23" t="s">
        <v>8</v>
      </c>
      <c r="D7" s="24">
        <v>2018</v>
      </c>
      <c r="E7" s="25" t="s">
        <v>9</v>
      </c>
      <c r="F7" s="25" t="s">
        <v>10</v>
      </c>
      <c r="G7" s="26">
        <v>97</v>
      </c>
      <c r="H7" s="26">
        <v>93</v>
      </c>
      <c r="I7" s="26">
        <v>10</v>
      </c>
      <c r="J7" s="26">
        <v>9</v>
      </c>
      <c r="K7" s="26"/>
      <c r="L7" s="26">
        <f>IF(COUNT(G7:K7)=0,"",(SUM(G7:H7,K7)+10*SUM(I7:J7))/COUNT(G7:K7))</f>
        <v>95.0</v>
      </c>
      <c r="M7" s="26">
        <v>10</v>
      </c>
      <c r="N7" s="27"/>
      <c r="O7" s="25" t="s">
        <v>11</v>
      </c>
      <c r="P7" s="28" t="s">
        <v>12</v>
      </c>
    </row>
    <row r="8" spans="1:16" ht="64" customHeight="1">
      <c r="A8" s="29">
        <v>2</v>
      </c>
      <c r="B8" s="30" t="s">
        <v>13</v>
      </c>
      <c r="C8" s="31" t="s">
        <v>8</v>
      </c>
      <c r="D8" s="32">
        <v>2010</v>
      </c>
      <c r="E8" s="33" t="s">
        <v>14</v>
      </c>
      <c r="F8" s="33" t="s">
        <v>15</v>
      </c>
      <c r="G8" s="34">
        <v>96</v>
      </c>
      <c r="H8" s="34">
        <v>94</v>
      </c>
      <c r="I8" s="34">
        <v>9.6</v>
      </c>
      <c r="J8" s="34">
        <v>9</v>
      </c>
      <c r="K8" s="34">
        <v>90</v>
      </c>
      <c r="L8" s="34">
        <f>IF(COUNT(G8:K8)=0,"",(SUM(G8:H8,K8)+10*SUM(I8:J8))/COUNT(G8:K8))</f>
        <v>93.2</v>
      </c>
      <c r="M8" s="34">
        <v>9.969696969696969</v>
      </c>
      <c r="N8" s="35"/>
      <c r="O8" s="33" t="s">
        <v>16</v>
      </c>
      <c r="P8" s="36" t="s">
        <v>12</v>
      </c>
    </row>
    <row r="9" spans="1:16" ht="64" customHeight="1">
      <c r="A9" s="21">
        <v>3</v>
      </c>
      <c r="B9" s="22" t="s">
        <v>17</v>
      </c>
      <c r="C9" s="23" t="s">
        <v>8</v>
      </c>
      <c r="D9" s="24">
        <v>2015</v>
      </c>
      <c r="E9" s="25" t="s">
        <v>18</v>
      </c>
      <c r="F9" s="25" t="s">
        <v>19</v>
      </c>
      <c r="G9" s="26">
        <v>92</v>
      </c>
      <c r="H9" s="26">
        <v>93</v>
      </c>
      <c r="I9" s="26">
        <v>9.300000000000001</v>
      </c>
      <c r="J9" s="26">
        <v>9</v>
      </c>
      <c r="K9" s="26">
        <v>92</v>
      </c>
      <c r="L9" s="26">
        <f>IF(COUNT(G9:K9)=0,"",(SUM(G9:H9,K9)+10*SUM(I9:J9))/COUNT(G9:K9))</f>
        <v>92.0</v>
      </c>
      <c r="M9" s="26">
        <v>9.9</v>
      </c>
      <c r="N9" s="27" t="s">
        <v>20</v>
      </c>
      <c r="O9" s="25" t="s">
        <v>21</v>
      </c>
      <c r="P9" s="28" t="s">
        <v>12</v>
      </c>
    </row>
    <row r="10" spans="1:16" ht="64" customHeight="1">
      <c r="A10" s="29">
        <v>4</v>
      </c>
      <c r="B10" s="30" t="s">
        <v>22</v>
      </c>
      <c r="C10" s="31" t="s">
        <v>8</v>
      </c>
      <c r="D10" s="32">
        <v>2018</v>
      </c>
      <c r="E10" s="33" t="s">
        <v>23</v>
      </c>
      <c r="F10" s="33" t="s">
        <v>24</v>
      </c>
      <c r="G10" s="34">
        <v>94</v>
      </c>
      <c r="H10" s="34">
        <v>90</v>
      </c>
      <c r="I10" s="34">
        <v>10</v>
      </c>
      <c r="J10" s="34">
        <v>9</v>
      </c>
      <c r="K10" s="34">
        <v>90</v>
      </c>
      <c r="L10" s="34">
        <f>IF(COUNT(G10:K10)=0,"",(SUM(G10:H10,K10)+10*SUM(I10:J10))/COUNT(G10:K10))</f>
        <v>92.8</v>
      </c>
      <c r="M10" s="34">
        <v>9.909090909090908</v>
      </c>
      <c r="N10" s="35"/>
      <c r="O10" s="33" t="s">
        <v>25</v>
      </c>
      <c r="P10" s="36" t="s">
        <v>12</v>
      </c>
    </row>
    <row r="11" spans="1:16" ht="64" customHeight="1">
      <c r="A11" s="21">
        <v>5</v>
      </c>
      <c r="B11" s="22" t="s">
        <v>26</v>
      </c>
      <c r="C11" s="23" t="s">
        <v>8</v>
      </c>
      <c r="D11" s="24">
        <v>2013</v>
      </c>
      <c r="E11" s="25" t="s">
        <v>27</v>
      </c>
      <c r="F11" s="25" t="s">
        <v>28</v>
      </c>
      <c r="G11" s="26">
        <v>95</v>
      </c>
      <c r="H11" s="26"/>
      <c r="I11" s="26">
        <v>10</v>
      </c>
      <c r="J11" s="26">
        <v>8</v>
      </c>
      <c r="K11" s="26"/>
      <c r="L11" s="26">
        <f>IF(COUNT(G11:K11)=0,"",(SUM(G11:H11,K11)+10*SUM(I11:J11))/COUNT(G11:K11))</f>
        <v>91.66666666666667</v>
      </c>
      <c r="M11" s="26">
        <v>9.878787878787879</v>
      </c>
      <c r="N11" s="27"/>
      <c r="O11" s="25" t="s">
        <v>29</v>
      </c>
      <c r="P11" s="28" t="s">
        <v>12</v>
      </c>
    </row>
    <row r="12" spans="1:16" ht="64" customHeight="1">
      <c r="A12" s="29">
        <v>6</v>
      </c>
      <c r="B12" s="30" t="s">
        <v>30</v>
      </c>
      <c r="C12" s="31" t="s">
        <v>8</v>
      </c>
      <c r="D12" s="32">
        <v>2013</v>
      </c>
      <c r="E12" s="33" t="s">
        <v>9</v>
      </c>
      <c r="F12" s="33" t="s">
        <v>10</v>
      </c>
      <c r="G12" s="34">
        <v>97</v>
      </c>
      <c r="H12" s="34">
        <v>96</v>
      </c>
      <c r="I12" s="34">
        <v>10</v>
      </c>
      <c r="J12" s="34">
        <v>9</v>
      </c>
      <c r="K12" s="34">
        <v>93</v>
      </c>
      <c r="L12" s="34">
        <f>IF(COUNT(G12:K12)=0,"",(SUM(G12:H12,K12)+10*SUM(I12:J12))/COUNT(G12:K12))</f>
        <v>95.2</v>
      </c>
      <c r="M12" s="34">
        <v>9.848484848484848</v>
      </c>
      <c r="N12" s="35"/>
      <c r="O12" s="33" t="s">
        <v>31</v>
      </c>
      <c r="P12" s="36" t="s">
        <v>12</v>
      </c>
    </row>
    <row r="13" spans="1:16" ht="64" customHeight="1">
      <c r="A13" s="21">
        <v>7</v>
      </c>
      <c r="B13" s="22" t="s">
        <v>32</v>
      </c>
      <c r="C13" s="23" t="s">
        <v>8</v>
      </c>
      <c r="D13" s="24">
        <v>2008</v>
      </c>
      <c r="E13" s="25" t="s">
        <v>9</v>
      </c>
      <c r="F13" s="25" t="s">
        <v>10</v>
      </c>
      <c r="G13" s="26">
        <v>98</v>
      </c>
      <c r="H13" s="26">
        <v>90</v>
      </c>
      <c r="I13" s="26"/>
      <c r="J13" s="26">
        <v>10</v>
      </c>
      <c r="K13" s="26"/>
      <c r="L13" s="26">
        <f>IF(COUNT(G13:K13)=0,"",(SUM(G13:H13,K13)+10*SUM(I13:J13))/COUNT(G13:K13))</f>
        <v>96.0</v>
      </c>
      <c r="M13" s="26">
        <v>9.800000000000001</v>
      </c>
      <c r="N13" s="27"/>
      <c r="O13" s="25" t="s">
        <v>33</v>
      </c>
      <c r="P13" s="28" t="s">
        <v>12</v>
      </c>
    </row>
    <row r="14" spans="1:16" ht="64" customHeight="1">
      <c r="A14" s="29">
        <v>8</v>
      </c>
      <c r="B14" s="30" t="s">
        <v>34</v>
      </c>
      <c r="C14" s="31" t="s">
        <v>8</v>
      </c>
      <c r="D14" s="32">
        <v>2010</v>
      </c>
      <c r="E14" s="33" t="s">
        <v>9</v>
      </c>
      <c r="F14" s="33" t="s">
        <v>10</v>
      </c>
      <c r="G14" s="34">
        <v>95</v>
      </c>
      <c r="H14" s="34"/>
      <c r="I14" s="34">
        <v>9.699999999999999</v>
      </c>
      <c r="J14" s="34">
        <v>9.5</v>
      </c>
      <c r="K14" s="34"/>
      <c r="L14" s="34">
        <f>IF(COUNT(G14:K14)=0,"",(SUM(G14:H14,K14)+10*SUM(I14:J14))/COUNT(G14:K14))</f>
        <v>95.66666666666667</v>
      </c>
      <c r="M14" s="34">
        <v>9.787878787878787</v>
      </c>
      <c r="N14" s="35"/>
      <c r="O14" s="33" t="s">
        <v>35</v>
      </c>
      <c r="P14" s="36" t="s">
        <v>12</v>
      </c>
    </row>
    <row r="15" spans="1:16" ht="64" customHeight="1">
      <c r="A15" s="21">
        <v>9</v>
      </c>
      <c r="B15" s="22" t="s">
        <v>36</v>
      </c>
      <c r="C15" s="23" t="s">
        <v>8</v>
      </c>
      <c r="D15" s="24">
        <v>2007</v>
      </c>
      <c r="E15" s="25" t="s">
        <v>37</v>
      </c>
      <c r="F15" s="25" t="s">
        <v>38</v>
      </c>
      <c r="G15" s="26">
        <v>96</v>
      </c>
      <c r="H15" s="26">
        <v>96</v>
      </c>
      <c r="I15" s="26"/>
      <c r="J15" s="26">
        <v>9</v>
      </c>
      <c r="K15" s="26">
        <v>94</v>
      </c>
      <c r="L15" s="26">
        <f>IF(COUNT(G15:K15)=0,"",(SUM(G15:H15,K15)+10*SUM(I15:J15))/COUNT(G15:K15))</f>
        <v>94.0</v>
      </c>
      <c r="M15" s="26">
        <v>9.757575757575758</v>
      </c>
      <c r="N15" s="27"/>
      <c r="O15" s="25" t="s">
        <v>39</v>
      </c>
      <c r="P15" s="28" t="s">
        <v>12</v>
      </c>
    </row>
    <row r="16" spans="1:16" ht="64" customHeight="1">
      <c r="A16" s="29">
        <v>10</v>
      </c>
      <c r="B16" s="30" t="s">
        <v>40</v>
      </c>
      <c r="C16" s="31" t="s">
        <v>8</v>
      </c>
      <c r="D16" s="32">
        <v>2007</v>
      </c>
      <c r="E16" s="33" t="s">
        <v>14</v>
      </c>
      <c r="F16" s="33" t="s">
        <v>15</v>
      </c>
      <c r="G16" s="34">
        <v>91</v>
      </c>
      <c r="H16" s="34"/>
      <c r="I16" s="34"/>
      <c r="J16" s="34">
        <v>8.5</v>
      </c>
      <c r="K16" s="34">
        <v>85</v>
      </c>
      <c r="L16" s="34">
        <f>IF(COUNT(G16:K16)=0,"",(SUM(G16:H16,K16)+10*SUM(I16:J16))/COUNT(G16:K16))</f>
        <v>87.0</v>
      </c>
      <c r="M16" s="34">
        <v>9.727272727272727</v>
      </c>
      <c r="N16" s="35"/>
      <c r="O16" s="33" t="s">
        <v>41</v>
      </c>
      <c r="P16" s="36" t="s">
        <v>12</v>
      </c>
    </row>
    <row r="17" spans="1:16" ht="64" customHeight="1">
      <c r="A17" s="21">
        <v>11</v>
      </c>
      <c r="B17" s="22" t="s">
        <v>42</v>
      </c>
      <c r="C17" s="23" t="s">
        <v>8</v>
      </c>
      <c r="D17" s="24">
        <v>2011</v>
      </c>
      <c r="E17" s="25" t="s">
        <v>43</v>
      </c>
      <c r="F17" s="25" t="s">
        <v>19</v>
      </c>
      <c r="G17" s="26">
        <v>96</v>
      </c>
      <c r="H17" s="26">
        <v>94</v>
      </c>
      <c r="I17" s="26">
        <v>9.5</v>
      </c>
      <c r="J17" s="26">
        <v>9.5</v>
      </c>
      <c r="K17" s="26">
        <v>94</v>
      </c>
      <c r="L17" s="26">
        <f>IF(COUNT(G17:K17)=0,"",(SUM(G17:H17,K17)+10*SUM(I17:J17))/COUNT(G17:K17))</f>
        <v>94.8</v>
      </c>
      <c r="M17" s="26">
        <v>9.699999999999999</v>
      </c>
      <c r="N17" s="27" t="s">
        <v>20</v>
      </c>
      <c r="O17" s="25" t="s">
        <v>44</v>
      </c>
      <c r="P17" s="28" t="s">
        <v>12</v>
      </c>
    </row>
    <row r="18" spans="1:16" ht="64" customHeight="1">
      <c r="A18" s="29">
        <v>12</v>
      </c>
      <c r="B18" s="30" t="s">
        <v>45</v>
      </c>
      <c r="C18" s="31" t="s">
        <v>8</v>
      </c>
      <c r="D18" s="32">
        <v>2023</v>
      </c>
      <c r="E18" s="33" t="s">
        <v>46</v>
      </c>
      <c r="F18" s="33" t="s">
        <v>47</v>
      </c>
      <c r="G18" s="34">
        <v>96</v>
      </c>
      <c r="H18" s="34">
        <v>96</v>
      </c>
      <c r="I18" s="34">
        <v>10</v>
      </c>
      <c r="J18" s="34">
        <v>10</v>
      </c>
      <c r="K18" s="34">
        <v>97</v>
      </c>
      <c r="L18" s="34">
        <f>IF(COUNT(G18:K18)=0,"",(SUM(G18:H18,K18)+10*SUM(I18:J18))/COUNT(G18:K18))</f>
        <v>97.8</v>
      </c>
      <c r="M18" s="34">
        <v>9.699999999999999</v>
      </c>
      <c r="N18" s="35" t="s">
        <v>20</v>
      </c>
      <c r="O18" s="33" t="s">
        <v>48</v>
      </c>
      <c r="P18" s="36" t="s">
        <v>12</v>
      </c>
    </row>
    <row r="19" spans="1:16" ht="64" customHeight="1">
      <c r="A19" s="21">
        <v>13</v>
      </c>
      <c r="B19" s="22" t="s">
        <v>49</v>
      </c>
      <c r="C19" s="23" t="s">
        <v>8</v>
      </c>
      <c r="D19" s="24">
        <v>2025</v>
      </c>
      <c r="E19" s="25" t="s">
        <v>50</v>
      </c>
      <c r="F19" s="25" t="s">
        <v>51</v>
      </c>
      <c r="G19" s="26">
        <v>92</v>
      </c>
      <c r="H19" s="26">
        <v>91</v>
      </c>
      <c r="I19" s="26">
        <v>9</v>
      </c>
      <c r="J19" s="26">
        <v>9</v>
      </c>
      <c r="K19" s="26"/>
      <c r="L19" s="26">
        <f>IF(COUNT(G19:K19)=0,"",(SUM(G19:H19,K19)+10*SUM(I19:J19))/COUNT(G19:K19))</f>
        <v>90.75</v>
      </c>
      <c r="M19" s="26">
        <v>9.636363636363637</v>
      </c>
      <c r="N19" s="27"/>
      <c r="O19" s="25" t="s">
        <v>52</v>
      </c>
      <c r="P19" s="28" t="s">
        <v>12</v>
      </c>
    </row>
    <row r="20" spans="1:16" ht="64" customHeight="1">
      <c r="A20" s="29">
        <v>14</v>
      </c>
      <c r="B20" s="30" t="s">
        <v>53</v>
      </c>
      <c r="C20" s="31" t="s">
        <v>8</v>
      </c>
      <c r="D20" s="32">
        <v>2011</v>
      </c>
      <c r="E20" s="33" t="s">
        <v>54</v>
      </c>
      <c r="F20" s="33" t="s">
        <v>24</v>
      </c>
      <c r="G20" s="34">
        <v>94</v>
      </c>
      <c r="H20" s="34">
        <v>94</v>
      </c>
      <c r="I20" s="34">
        <v>9.5</v>
      </c>
      <c r="J20" s="34">
        <v>9</v>
      </c>
      <c r="K20" s="34">
        <v>94</v>
      </c>
      <c r="L20" s="34">
        <f>IF(COUNT(G20:K20)=0,"",(SUM(G20:H20,K20)+10*SUM(I20:J20))/COUNT(G20:K20))</f>
        <v>93.4</v>
      </c>
      <c r="M20" s="34">
        <v>9.606060606060606</v>
      </c>
      <c r="N20" s="35"/>
      <c r="O20" s="33" t="s">
        <v>55</v>
      </c>
      <c r="P20" s="36" t="s">
        <v>12</v>
      </c>
    </row>
    <row r="21" spans="1:16" ht="64" customHeight="1">
      <c r="A21" s="21">
        <v>15</v>
      </c>
      <c r="B21" s="22" t="s">
        <v>56</v>
      </c>
      <c r="C21" s="23" t="s">
        <v>8</v>
      </c>
      <c r="D21" s="24">
        <v>2022</v>
      </c>
      <c r="E21" s="25" t="s">
        <v>57</v>
      </c>
      <c r="F21" s="25" t="s">
        <v>58</v>
      </c>
      <c r="G21" s="26">
        <v>96</v>
      </c>
      <c r="H21" s="26">
        <v>94</v>
      </c>
      <c r="I21" s="26">
        <v>10</v>
      </c>
      <c r="J21" s="26">
        <v>10</v>
      </c>
      <c r="K21" s="26">
        <v>95</v>
      </c>
      <c r="L21" s="26">
        <f>IF(COUNT(G21:K21)=0,"",(SUM(G21:H21,K21)+10*SUM(I21:J21))/COUNT(G21:K21))</f>
        <v>97.0</v>
      </c>
      <c r="M21" s="26">
        <v>9.6</v>
      </c>
      <c r="N21" s="27" t="s">
        <v>20</v>
      </c>
      <c r="O21" s="25" t="s">
        <v>59</v>
      </c>
      <c r="P21" s="28" t="s">
        <v>12</v>
      </c>
    </row>
    <row r="22" spans="1:16" ht="64" customHeight="1">
      <c r="A22" s="29">
        <v>16</v>
      </c>
      <c r="B22" s="30" t="s">
        <v>60</v>
      </c>
      <c r="C22" s="31" t="s">
        <v>8</v>
      </c>
      <c r="D22" s="32">
        <v>2016</v>
      </c>
      <c r="E22" s="33" t="s">
        <v>27</v>
      </c>
      <c r="F22" s="33" t="s">
        <v>24</v>
      </c>
      <c r="G22" s="34">
        <v>93</v>
      </c>
      <c r="H22" s="34"/>
      <c r="I22" s="34"/>
      <c r="J22" s="34">
        <v>10</v>
      </c>
      <c r="K22" s="34"/>
      <c r="L22" s="34">
        <f>IF(COUNT(G22:K22)=0,"",(SUM(G22:H22,K22)+10*SUM(I22:J22))/COUNT(G22:K22))</f>
        <v>96.5</v>
      </c>
      <c r="M22" s="34">
        <v>9.545454545454545</v>
      </c>
      <c r="N22" s="35"/>
      <c r="O22" s="33" t="s">
        <v>61</v>
      </c>
      <c r="P22" s="36" t="s">
        <v>12</v>
      </c>
    </row>
    <row r="23" spans="1:16" ht="64" customHeight="1">
      <c r="A23" s="21">
        <v>17</v>
      </c>
      <c r="B23" s="22" t="s">
        <v>62</v>
      </c>
      <c r="C23" s="23" t="s">
        <v>8</v>
      </c>
      <c r="D23" s="24">
        <v>2022</v>
      </c>
      <c r="E23" s="25" t="s">
        <v>23</v>
      </c>
      <c r="F23" s="25" t="s">
        <v>24</v>
      </c>
      <c r="G23" s="26">
        <v>94</v>
      </c>
      <c r="H23" s="26">
        <v>94</v>
      </c>
      <c r="I23" s="26">
        <v>10</v>
      </c>
      <c r="J23" s="26">
        <v>10</v>
      </c>
      <c r="K23" s="26">
        <v>90</v>
      </c>
      <c r="L23" s="26">
        <f>IF(COUNT(G23:K23)=0,"",(SUM(G23:H23,K23)+10*SUM(I23:J23))/COUNT(G23:K23))</f>
        <v>95.6</v>
      </c>
      <c r="M23" s="26">
        <v>9.515151515151516</v>
      </c>
      <c r="N23" s="27"/>
      <c r="O23" s="25" t="s">
        <v>63</v>
      </c>
      <c r="P23" s="28" t="s">
        <v>12</v>
      </c>
    </row>
    <row r="24" spans="1:16" ht="64" customHeight="1">
      <c r="A24" s="29">
        <v>18</v>
      </c>
      <c r="B24" s="30" t="s">
        <v>64</v>
      </c>
      <c r="C24" s="31" t="s">
        <v>8</v>
      </c>
      <c r="D24" s="32">
        <v>2020</v>
      </c>
      <c r="E24" s="33" t="s">
        <v>27</v>
      </c>
      <c r="F24" s="33" t="s">
        <v>24</v>
      </c>
      <c r="G24" s="34">
        <v>93</v>
      </c>
      <c r="H24" s="34"/>
      <c r="I24" s="34"/>
      <c r="J24" s="34">
        <v>8</v>
      </c>
      <c r="K24" s="34"/>
      <c r="L24" s="34">
        <f>IF(COUNT(G24:K24)=0,"",(SUM(G24:H24,K24)+10*SUM(I24:J24))/COUNT(G24:K24))</f>
        <v>86.5</v>
      </c>
      <c r="M24" s="34">
        <v>9.484848484848484</v>
      </c>
      <c r="N24" s="35"/>
      <c r="O24" s="33" t="s">
        <v>65</v>
      </c>
      <c r="P24" s="36" t="s">
        <v>12</v>
      </c>
    </row>
    <row r="25" spans="1:16" ht="64" customHeight="1">
      <c r="A25" s="21">
        <v>19</v>
      </c>
      <c r="B25" s="22" t="s">
        <v>66</v>
      </c>
      <c r="C25" s="23" t="s">
        <v>8</v>
      </c>
      <c r="D25" s="24">
        <v>2004</v>
      </c>
      <c r="E25" s="25" t="s">
        <v>67</v>
      </c>
      <c r="F25" s="25" t="s">
        <v>10</v>
      </c>
      <c r="G25" s="26">
        <v>95</v>
      </c>
      <c r="H25" s="26"/>
      <c r="I25" s="26"/>
      <c r="J25" s="26">
        <v>9.6</v>
      </c>
      <c r="K25" s="26"/>
      <c r="L25" s="26">
        <f>IF(COUNT(G25:K25)=0,"",(SUM(G25:H25,K25)+10*SUM(I25:J25))/COUNT(G25:K25))</f>
        <v>95.5</v>
      </c>
      <c r="M25" s="26">
        <v>9.454545454545455</v>
      </c>
      <c r="N25" s="27"/>
      <c r="O25" s="25" t="s">
        <v>68</v>
      </c>
      <c r="P25" s="28" t="s">
        <v>12</v>
      </c>
    </row>
    <row r="26" spans="1:16" ht="64" customHeight="1">
      <c r="A26" s="29">
        <v>20</v>
      </c>
      <c r="B26" s="30" t="s">
        <v>69</v>
      </c>
      <c r="C26" s="31" t="s">
        <v>8</v>
      </c>
      <c r="D26" s="32">
        <v>2012</v>
      </c>
      <c r="E26" s="33" t="s">
        <v>14</v>
      </c>
      <c r="F26" s="33" t="s">
        <v>15</v>
      </c>
      <c r="G26" s="34">
        <v>93</v>
      </c>
      <c r="H26" s="34">
        <v>89</v>
      </c>
      <c r="I26" s="34">
        <v>9.5</v>
      </c>
      <c r="J26" s="34">
        <v>9.5</v>
      </c>
      <c r="K26" s="34">
        <v>90</v>
      </c>
      <c r="L26" s="34">
        <f>IF(COUNT(G26:K26)=0,"",(SUM(G26:H26,K26)+10*SUM(I26:J26))/COUNT(G26:K26))</f>
        <v>92.4</v>
      </c>
      <c r="M26" s="34">
        <v>9.424242424242424</v>
      </c>
      <c r="N26" s="35"/>
      <c r="O26" s="33" t="s">
        <v>70</v>
      </c>
      <c r="P26" s="36" t="s">
        <v>12</v>
      </c>
    </row>
    <row r="27" spans="1:16" ht="64" customHeight="1">
      <c r="A27" s="21">
        <v>21</v>
      </c>
      <c r="B27" s="22" t="s">
        <v>71</v>
      </c>
      <c r="C27" s="23" t="s">
        <v>8</v>
      </c>
      <c r="D27" s="24">
        <v>2008</v>
      </c>
      <c r="E27" s="25" t="s">
        <v>43</v>
      </c>
      <c r="F27" s="25" t="s">
        <v>19</v>
      </c>
      <c r="G27" s="26">
        <v>93</v>
      </c>
      <c r="H27" s="26">
        <v>91</v>
      </c>
      <c r="I27" s="26">
        <v>9.6</v>
      </c>
      <c r="J27" s="26">
        <v>9</v>
      </c>
      <c r="K27" s="26">
        <v>92</v>
      </c>
      <c r="L27" s="26">
        <f>IF(COUNT(G27:K27)=0,"",(SUM(G27:H27,K27)+10*SUM(I27:J27))/COUNT(G27:K27))</f>
        <v>92.4</v>
      </c>
      <c r="M27" s="26">
        <v>9.393939393939394</v>
      </c>
      <c r="N27" s="27"/>
      <c r="O27" s="25" t="s">
        <v>72</v>
      </c>
      <c r="P27" s="28" t="s">
        <v>12</v>
      </c>
    </row>
    <row r="28" spans="1:16" ht="64" customHeight="1">
      <c r="A28" s="29">
        <v>22</v>
      </c>
      <c r="B28" s="30" t="s">
        <v>73</v>
      </c>
      <c r="C28" s="31" t="s">
        <v>8</v>
      </c>
      <c r="D28" s="32">
        <v>2000</v>
      </c>
      <c r="E28" s="33" t="s">
        <v>74</v>
      </c>
      <c r="F28" s="33" t="s">
        <v>47</v>
      </c>
      <c r="G28" s="34">
        <v>95</v>
      </c>
      <c r="H28" s="34"/>
      <c r="I28" s="34"/>
      <c r="J28" s="34">
        <v>9.6</v>
      </c>
      <c r="K28" s="34"/>
      <c r="L28" s="34">
        <f>IF(COUNT(G28:K28)=0,"",(SUM(G28:H28,K28)+10*SUM(I28:J28))/COUNT(G28:K28))</f>
        <v>95.5</v>
      </c>
      <c r="M28" s="34">
        <v>9.4</v>
      </c>
      <c r="N28" s="35" t="s">
        <v>20</v>
      </c>
      <c r="O28" s="33" t="s">
        <v>75</v>
      </c>
      <c r="P28" s="36" t="s">
        <v>12</v>
      </c>
    </row>
    <row r="29" spans="1:16" ht="64" customHeight="1">
      <c r="A29" s="21">
        <v>23</v>
      </c>
      <c r="B29" s="22" t="s">
        <v>76</v>
      </c>
      <c r="C29" s="23" t="s">
        <v>8</v>
      </c>
      <c r="D29" s="24">
        <v>2007</v>
      </c>
      <c r="E29" s="25" t="s">
        <v>77</v>
      </c>
      <c r="F29" s="25" t="s">
        <v>78</v>
      </c>
      <c r="G29" s="26">
        <v>94</v>
      </c>
      <c r="H29" s="26"/>
      <c r="I29" s="26"/>
      <c r="J29" s="26">
        <v>9.5</v>
      </c>
      <c r="K29" s="26"/>
      <c r="L29" s="26">
        <f>IF(COUNT(G29:K29)=0,"",(SUM(G29:H29,K29)+10*SUM(I29:J29))/COUNT(G29:K29))</f>
        <v>94.5</v>
      </c>
      <c r="M29" s="26">
        <v>9.333333333333334</v>
      </c>
      <c r="N29" s="27"/>
      <c r="O29" s="25" t="s">
        <v>79</v>
      </c>
      <c r="P29" s="28" t="s">
        <v>12</v>
      </c>
    </row>
    <row r="30" spans="1:16" ht="64" customHeight="1">
      <c r="A30" s="29">
        <v>24</v>
      </c>
      <c r="B30" s="30" t="s">
        <v>80</v>
      </c>
      <c r="C30" s="31" t="s">
        <v>8</v>
      </c>
      <c r="D30" s="32">
        <v>2011</v>
      </c>
      <c r="E30" s="33" t="s">
        <v>81</v>
      </c>
      <c r="F30" s="33" t="s">
        <v>82</v>
      </c>
      <c r="G30" s="34">
        <v>95</v>
      </c>
      <c r="H30" s="34">
        <v>95</v>
      </c>
      <c r="I30" s="34">
        <v>10</v>
      </c>
      <c r="J30" s="34">
        <v>10</v>
      </c>
      <c r="K30" s="34">
        <v>94</v>
      </c>
      <c r="L30" s="34">
        <f>IF(COUNT(G30:K30)=0,"",(SUM(G30:H30,K30)+10*SUM(I30:J30))/COUNT(G30:K30))</f>
        <v>96.8</v>
      </c>
      <c r="M30" s="34">
        <v>9.300000000000001</v>
      </c>
      <c r="N30" s="35" t="s">
        <v>20</v>
      </c>
      <c r="O30" s="33" t="s">
        <v>83</v>
      </c>
      <c r="P30" s="36" t="s">
        <v>12</v>
      </c>
    </row>
    <row r="31" spans="1:16" ht="64" customHeight="1">
      <c r="A31" s="21">
        <v>25</v>
      </c>
      <c r="B31" s="22" t="s">
        <v>84</v>
      </c>
      <c r="C31" s="23" t="s">
        <v>8</v>
      </c>
      <c r="D31" s="24">
        <v>2004</v>
      </c>
      <c r="E31" s="25" t="s">
        <v>81</v>
      </c>
      <c r="F31" s="25" t="s">
        <v>85</v>
      </c>
      <c r="G31" s="26">
        <v>96</v>
      </c>
      <c r="H31" s="26">
        <v>96</v>
      </c>
      <c r="I31" s="26">
        <v>9.699999999999999</v>
      </c>
      <c r="J31" s="26">
        <v>9.199999999999999</v>
      </c>
      <c r="K31" s="26">
        <v>96</v>
      </c>
      <c r="L31" s="26">
        <f>IF(COUNT(G31:K31)=0,"",(SUM(G31:H31,K31)+10*SUM(I31:J31))/COUNT(G31:K31))</f>
        <v>95.4</v>
      </c>
      <c r="M31" s="26">
        <v>9.272727272727273</v>
      </c>
      <c r="N31" s="27"/>
      <c r="O31" s="25" t="s">
        <v>86</v>
      </c>
      <c r="P31" s="28" t="s">
        <v>12</v>
      </c>
    </row>
    <row r="32" spans="1:16" ht="64" customHeight="1">
      <c r="A32" s="29">
        <v>26</v>
      </c>
      <c r="B32" s="30" t="s">
        <v>87</v>
      </c>
      <c r="C32" s="31" t="s">
        <v>8</v>
      </c>
      <c r="D32" s="32">
        <v>2020</v>
      </c>
      <c r="E32" s="33" t="s">
        <v>18</v>
      </c>
      <c r="F32" s="33" t="s">
        <v>19</v>
      </c>
      <c r="G32" s="34">
        <v>86</v>
      </c>
      <c r="H32" s="34">
        <v>86</v>
      </c>
      <c r="I32" s="34">
        <v>9</v>
      </c>
      <c r="J32" s="34">
        <v>7</v>
      </c>
      <c r="K32" s="34">
        <v>78</v>
      </c>
      <c r="L32" s="34">
        <f>IF(COUNT(G32:K32)=0,"",(SUM(G32:H32,K32)+10*SUM(I32:J32))/COUNT(G32:K32))</f>
        <v>82.0</v>
      </c>
      <c r="M32" s="34">
        <v>9.242424242424242</v>
      </c>
      <c r="N32" s="35"/>
      <c r="O32" s="33" t="s">
        <v>88</v>
      </c>
      <c r="P32" s="36" t="s">
        <v>12</v>
      </c>
    </row>
    <row r="33" spans="1:16" ht="64" customHeight="1">
      <c r="A33" s="21">
        <v>27</v>
      </c>
      <c r="B33" s="22" t="s">
        <v>89</v>
      </c>
      <c r="C33" s="23" t="s">
        <v>8</v>
      </c>
      <c r="D33" s="24">
        <v>2023</v>
      </c>
      <c r="E33" s="25" t="s">
        <v>90</v>
      </c>
      <c r="F33" s="25" t="s">
        <v>91</v>
      </c>
      <c r="G33" s="26">
        <v>93</v>
      </c>
      <c r="H33" s="26">
        <v>91</v>
      </c>
      <c r="I33" s="26">
        <v>10</v>
      </c>
      <c r="J33" s="26">
        <v>10</v>
      </c>
      <c r="K33" s="26">
        <v>80</v>
      </c>
      <c r="L33" s="26">
        <f>IF(COUNT(G33:K33)=0,"",(SUM(G33:H33,K33)+10*SUM(I33:J33))/COUNT(G33:K33))</f>
        <v>92.8</v>
      </c>
      <c r="M33" s="26">
        <v>9.212121212121213</v>
      </c>
      <c r="N33" s="27"/>
      <c r="O33" s="25" t="s">
        <v>92</v>
      </c>
      <c r="P33" s="28" t="s">
        <v>12</v>
      </c>
    </row>
    <row r="34" spans="1:16" ht="64" customHeight="1">
      <c r="A34" s="29">
        <v>28</v>
      </c>
      <c r="B34" s="30" t="s">
        <v>93</v>
      </c>
      <c r="C34" s="31" t="s">
        <v>8</v>
      </c>
      <c r="D34" s="32">
        <v>2023</v>
      </c>
      <c r="E34" s="33" t="s">
        <v>94</v>
      </c>
      <c r="F34" s="33" t="s">
        <v>91</v>
      </c>
      <c r="G34" s="34">
        <v>89</v>
      </c>
      <c r="H34" s="34">
        <v>89</v>
      </c>
      <c r="I34" s="34">
        <v>9</v>
      </c>
      <c r="J34" s="34">
        <v>9</v>
      </c>
      <c r="K34" s="34">
        <v>88</v>
      </c>
      <c r="L34" s="34">
        <f>IF(COUNT(G34:K34)=0,"",(SUM(G34:H34,K34)+10*SUM(I34:J34))/COUNT(G34:K34))</f>
        <v>89.2</v>
      </c>
      <c r="M34" s="34">
        <v>9.199999999999999</v>
      </c>
      <c r="N34" s="35" t="s">
        <v>20</v>
      </c>
      <c r="O34" s="33" t="s">
        <v>95</v>
      </c>
      <c r="P34" s="36" t="s">
        <v>12</v>
      </c>
    </row>
    <row r="35" spans="1:16" ht="64" customHeight="1">
      <c r="A35" s="21">
        <v>29</v>
      </c>
      <c r="B35" s="22" t="s">
        <v>96</v>
      </c>
      <c r="C35" s="23" t="s">
        <v>8</v>
      </c>
      <c r="D35" s="24">
        <v>2019</v>
      </c>
      <c r="E35" s="25" t="s">
        <v>97</v>
      </c>
      <c r="F35" s="25" t="s">
        <v>24</v>
      </c>
      <c r="G35" s="26">
        <v>85</v>
      </c>
      <c r="H35" s="26">
        <v>82</v>
      </c>
      <c r="I35" s="26">
        <v>8.800000000000001</v>
      </c>
      <c r="J35" s="26">
        <v>8</v>
      </c>
      <c r="K35" s="26">
        <v>88</v>
      </c>
      <c r="L35" s="26">
        <f>IF(COUNT(G35:K35)=0,"",(SUM(G35:H35,K35)+10*SUM(I35:J35))/COUNT(G35:K35))</f>
        <v>84.6</v>
      </c>
      <c r="M35" s="26">
        <v>9.151515151515152</v>
      </c>
      <c r="N35" s="27"/>
      <c r="O35" s="25" t="s">
        <v>98</v>
      </c>
      <c r="P35" s="28" t="s">
        <v>12</v>
      </c>
    </row>
    <row r="36" spans="1:16" ht="64" customHeight="1">
      <c r="A36" s="29">
        <v>30</v>
      </c>
      <c r="B36" s="30" t="s">
        <v>99</v>
      </c>
      <c r="C36" s="31" t="s">
        <v>8</v>
      </c>
      <c r="D36" s="32">
        <v>2003</v>
      </c>
      <c r="E36" s="33" t="s">
        <v>100</v>
      </c>
      <c r="F36" s="33" t="s">
        <v>101</v>
      </c>
      <c r="G36" s="34">
        <v>94</v>
      </c>
      <c r="H36" s="34">
        <v>94</v>
      </c>
      <c r="I36" s="34">
        <v>9.199999999999999</v>
      </c>
      <c r="J36" s="34">
        <v>9.1</v>
      </c>
      <c r="K36" s="34">
        <v>92</v>
      </c>
      <c r="L36" s="34">
        <f>IF(COUNT(G36:K36)=0,"",(SUM(G36:H36,K36)+10*SUM(I36:J36))/COUNT(G36:K36))</f>
        <v>92.6</v>
      </c>
      <c r="M36" s="34">
        <v>9.1</v>
      </c>
      <c r="N36" s="35" t="s">
        <v>20</v>
      </c>
      <c r="O36" s="33" t="s">
        <v>102</v>
      </c>
      <c r="P36" s="36" t="s">
        <v>12</v>
      </c>
    </row>
    <row r="37" spans="1:16" ht="64" customHeight="1">
      <c r="A37" s="21">
        <v>31</v>
      </c>
      <c r="B37" s="22" t="s">
        <v>103</v>
      </c>
      <c r="C37" s="23" t="s">
        <v>8</v>
      </c>
      <c r="D37" s="24">
        <v>2004</v>
      </c>
      <c r="E37" s="25" t="s">
        <v>104</v>
      </c>
      <c r="F37" s="25" t="s">
        <v>105</v>
      </c>
      <c r="G37" s="26">
        <v>91</v>
      </c>
      <c r="H37" s="26"/>
      <c r="I37" s="26"/>
      <c r="J37" s="26">
        <v>9</v>
      </c>
      <c r="K37" s="26"/>
      <c r="L37" s="26">
        <f>IF(COUNT(G37:K37)=0,"",(SUM(G37:H37,K37)+10*SUM(I37:J37))/COUNT(G37:K37))</f>
        <v>90.5</v>
      </c>
      <c r="M37" s="26">
        <v>9.09090909090909</v>
      </c>
      <c r="N37" s="27"/>
      <c r="O37" s="25" t="s">
        <v>106</v>
      </c>
      <c r="P37" s="28" t="s">
        <v>12</v>
      </c>
    </row>
    <row r="38" spans="1:16" ht="64" customHeight="1">
      <c r="A38" s="29">
        <v>32</v>
      </c>
      <c r="B38" s="30" t="s">
        <v>107</v>
      </c>
      <c r="C38" s="31" t="s">
        <v>8</v>
      </c>
      <c r="D38" s="32">
        <v>2007</v>
      </c>
      <c r="E38" s="33" t="s">
        <v>108</v>
      </c>
      <c r="F38" s="33" t="s">
        <v>78</v>
      </c>
      <c r="G38" s="34">
        <v>94</v>
      </c>
      <c r="H38" s="34">
        <v>92</v>
      </c>
      <c r="I38" s="34">
        <v>9.4</v>
      </c>
      <c r="J38" s="34">
        <v>9</v>
      </c>
      <c r="K38" s="34"/>
      <c r="L38" s="34">
        <f>IF(COUNT(G38:K38)=0,"",(SUM(G38:H38,K38)+10*SUM(I38:J38))/COUNT(G38:K38))</f>
        <v>92.5</v>
      </c>
      <c r="M38" s="34">
        <v>9.060606060606061</v>
      </c>
      <c r="N38" s="35"/>
      <c r="O38" s="33" t="s">
        <v>109</v>
      </c>
      <c r="P38" s="36" t="s">
        <v>12</v>
      </c>
    </row>
    <row r="39" spans="1:16" ht="64" customHeight="1">
      <c r="A39" s="21">
        <v>33</v>
      </c>
      <c r="B39" s="22" t="s">
        <v>110</v>
      </c>
      <c r="C39" s="23" t="s">
        <v>8</v>
      </c>
      <c r="D39" s="24">
        <v>2013</v>
      </c>
      <c r="E39" s="25" t="s">
        <v>111</v>
      </c>
      <c r="F39" s="25" t="s">
        <v>112</v>
      </c>
      <c r="G39" s="26">
        <v>88</v>
      </c>
      <c r="H39" s="26">
        <v>84</v>
      </c>
      <c r="I39" s="26">
        <v>9</v>
      </c>
      <c r="J39" s="26">
        <v>9</v>
      </c>
      <c r="K39" s="26">
        <v>86</v>
      </c>
      <c r="L39" s="26">
        <f>IF(COUNT(G39:K39)=0,"",(SUM(G39:H39,K39)+10*SUM(I39:J39))/COUNT(G39:K39))</f>
        <v>87.6</v>
      </c>
      <c r="M39" s="26">
        <v>9.030303030303031</v>
      </c>
      <c r="N39" s="27"/>
      <c r="O39" s="25" t="s">
        <v>113</v>
      </c>
      <c r="P39" s="28" t="s">
        <v>12</v>
      </c>
    </row>
    <row r="40" spans="1:16" ht="64" customHeight="1">
      <c r="A40" s="29">
        <v>34</v>
      </c>
      <c r="B40" s="30" t="s">
        <v>114</v>
      </c>
      <c r="C40" s="31" t="s">
        <v>8</v>
      </c>
      <c r="D40" s="32">
        <v>2012</v>
      </c>
      <c r="E40" s="33" t="s">
        <v>115</v>
      </c>
      <c r="F40" s="33" t="s">
        <v>116</v>
      </c>
      <c r="G40" s="34">
        <v>88</v>
      </c>
      <c r="H40" s="34">
        <v>88</v>
      </c>
      <c r="I40" s="34">
        <v>9.199999999999999</v>
      </c>
      <c r="J40" s="34">
        <v>9</v>
      </c>
      <c r="K40" s="34">
        <v>88</v>
      </c>
      <c r="L40" s="34">
        <f>IF(COUNT(G40:K40)=0,"",(SUM(G40:H40,K40)+10*SUM(I40:J40))/COUNT(G40:K40))</f>
        <v>89.2</v>
      </c>
      <c r="M40" s="34">
        <v>9</v>
      </c>
      <c r="N40" s="35" t="s">
        <v>20</v>
      </c>
      <c r="O40" s="33" t="s">
        <v>117</v>
      </c>
      <c r="P40" s="36" t="s">
        <v>12</v>
      </c>
    </row>
    <row r="41" spans="1:16" ht="64" customHeight="1">
      <c r="A41" s="21">
        <v>35</v>
      </c>
      <c r="B41" s="22" t="s">
        <v>118</v>
      </c>
      <c r="C41" s="23" t="s">
        <v>8</v>
      </c>
      <c r="D41" s="24">
        <v>2006</v>
      </c>
      <c r="E41" s="25" t="s">
        <v>43</v>
      </c>
      <c r="F41" s="25" t="s">
        <v>19</v>
      </c>
      <c r="G41" s="26">
        <v>94</v>
      </c>
      <c r="H41" s="26">
        <v>94</v>
      </c>
      <c r="I41" s="26">
        <v>9.300000000000001</v>
      </c>
      <c r="J41" s="26">
        <v>9.5</v>
      </c>
      <c r="K41" s="26">
        <v>92</v>
      </c>
      <c r="L41" s="26">
        <f>IF(COUNT(G41:K41)=0,"",(SUM(G41:H41,K41)+10*SUM(I41:J41))/COUNT(G41:K41))</f>
        <v>93.6</v>
      </c>
      <c r="M41" s="26">
        <v>8.969696969696969</v>
      </c>
      <c r="N41" s="27"/>
      <c r="O41" s="25" t="s">
        <v>119</v>
      </c>
      <c r="P41" s="28" t="s">
        <v>12</v>
      </c>
    </row>
    <row r="42" spans="1:16" ht="64" customHeight="1">
      <c r="A42" s="29">
        <v>36</v>
      </c>
      <c r="B42" s="30" t="s">
        <v>120</v>
      </c>
      <c r="C42" s="31" t="s">
        <v>8</v>
      </c>
      <c r="D42" s="32">
        <v>2010</v>
      </c>
      <c r="E42" s="33" t="s">
        <v>77</v>
      </c>
      <c r="F42" s="33" t="s">
        <v>78</v>
      </c>
      <c r="G42" s="34">
        <v>91</v>
      </c>
      <c r="H42" s="34"/>
      <c r="I42" s="34"/>
      <c r="J42" s="34">
        <v>9.5</v>
      </c>
      <c r="K42" s="34"/>
      <c r="L42" s="34">
        <f>IF(COUNT(G42:K42)=0,"",(SUM(G42:H42,K42)+10*SUM(I42:J42))/COUNT(G42:K42))</f>
        <v>93.0</v>
      </c>
      <c r="M42" s="34">
        <v>8.939393939393939</v>
      </c>
      <c r="N42" s="35"/>
      <c r="O42" s="33" t="s">
        <v>121</v>
      </c>
      <c r="P42" s="36" t="s">
        <v>12</v>
      </c>
    </row>
    <row r="43" spans="1:16" ht="64" customHeight="1">
      <c r="A43" s="21">
        <v>37</v>
      </c>
      <c r="B43" s="22" t="s">
        <v>122</v>
      </c>
      <c r="C43" s="23" t="s">
        <v>8</v>
      </c>
      <c r="D43" s="24">
        <v>2014</v>
      </c>
      <c r="E43" s="25" t="s">
        <v>111</v>
      </c>
      <c r="F43" s="25" t="s">
        <v>123</v>
      </c>
      <c r="G43" s="26">
        <v>80</v>
      </c>
      <c r="H43" s="26">
        <v>80</v>
      </c>
      <c r="I43" s="26">
        <v>8.5</v>
      </c>
      <c r="J43" s="26">
        <v>8.5</v>
      </c>
      <c r="K43" s="26">
        <v>80</v>
      </c>
      <c r="L43" s="26">
        <f>IF(COUNT(G43:K43)=0,"",(SUM(G43:H43,K43)+10*SUM(I43:J43))/COUNT(G43:K43))</f>
        <v>82.0</v>
      </c>
      <c r="M43" s="26">
        <v>8.90909090909091</v>
      </c>
      <c r="N43" s="27"/>
      <c r="O43" s="25" t="s">
        <v>124</v>
      </c>
      <c r="P43" s="28" t="s">
        <v>12</v>
      </c>
    </row>
    <row r="44" spans="1:16" ht="64" customHeight="1">
      <c r="A44" s="29">
        <v>38</v>
      </c>
      <c r="B44" s="30" t="s">
        <v>125</v>
      </c>
      <c r="C44" s="31" t="s">
        <v>8</v>
      </c>
      <c r="D44" s="32">
        <v>2014</v>
      </c>
      <c r="E44" s="33" t="s">
        <v>14</v>
      </c>
      <c r="F44" s="33" t="s">
        <v>19</v>
      </c>
      <c r="G44" s="34">
        <v>89</v>
      </c>
      <c r="H44" s="34">
        <v>85</v>
      </c>
      <c r="I44" s="34">
        <v>8.800000000000001</v>
      </c>
      <c r="J44" s="34">
        <v>9</v>
      </c>
      <c r="K44" s="34">
        <v>87</v>
      </c>
      <c r="L44" s="34">
        <f>IF(COUNT(G44:K44)=0,"",(SUM(G44:H44,K44)+10*SUM(I44:J44))/COUNT(G44:K44))</f>
        <v>87.8</v>
      </c>
      <c r="M44" s="34">
        <v>8.9</v>
      </c>
      <c r="N44" s="35" t="s">
        <v>20</v>
      </c>
      <c r="O44" s="33" t="s">
        <v>126</v>
      </c>
      <c r="P44" s="36" t="s">
        <v>12</v>
      </c>
    </row>
    <row r="45" spans="1:16" ht="64" customHeight="1">
      <c r="A45" s="21">
        <v>39</v>
      </c>
      <c r="B45" s="22" t="s">
        <v>127</v>
      </c>
      <c r="C45" s="23" t="s">
        <v>8</v>
      </c>
      <c r="D45" s="24">
        <v>2019</v>
      </c>
      <c r="E45" s="25" t="s">
        <v>128</v>
      </c>
      <c r="F45" s="25" t="s">
        <v>129</v>
      </c>
      <c r="G45" s="26">
        <v>80</v>
      </c>
      <c r="H45" s="26">
        <v>81</v>
      </c>
      <c r="I45" s="26">
        <v>8.6</v>
      </c>
      <c r="J45" s="26">
        <v>8</v>
      </c>
      <c r="K45" s="26">
        <v>79</v>
      </c>
      <c r="L45" s="26">
        <f>IF(COUNT(G45:K45)=0,"",(SUM(G45:H45,K45)+10*SUM(I45:J45))/COUNT(G45:K45))</f>
        <v>81.2</v>
      </c>
      <c r="M45" s="26">
        <v>8.848484848484848</v>
      </c>
      <c r="N45" s="27"/>
      <c r="O45" s="25" t="s">
        <v>130</v>
      </c>
      <c r="P45" s="28" t="s">
        <v>12</v>
      </c>
    </row>
    <row r="46" spans="1:16" ht="64" customHeight="1">
      <c r="A46" s="29">
        <v>40</v>
      </c>
      <c r="B46" s="30" t="s">
        <v>131</v>
      </c>
      <c r="C46" s="31" t="s">
        <v>8</v>
      </c>
      <c r="D46" s="32">
        <v>2019</v>
      </c>
      <c r="E46" s="33" t="s">
        <v>90</v>
      </c>
      <c r="F46" s="33" t="s">
        <v>132</v>
      </c>
      <c r="G46" s="34">
        <v>91</v>
      </c>
      <c r="H46" s="34">
        <v>91</v>
      </c>
      <c r="I46" s="34">
        <v>9</v>
      </c>
      <c r="J46" s="34">
        <v>9</v>
      </c>
      <c r="K46" s="34">
        <v>90</v>
      </c>
      <c r="L46" s="34">
        <f>IF(COUNT(G46:K46)=0,"",(SUM(G46:H46,K46)+10*SUM(I46:J46))/COUNT(G46:K46))</f>
        <v>90.4</v>
      </c>
      <c r="M46" s="34">
        <v>8.818181818181818</v>
      </c>
      <c r="N46" s="35"/>
      <c r="O46" s="33" t="s">
        <v>133</v>
      </c>
      <c r="P46" s="36" t="s">
        <v>12</v>
      </c>
    </row>
    <row r="47" spans="1:16" ht="64" customHeight="1">
      <c r="A47" s="21">
        <v>41</v>
      </c>
      <c r="B47" s="22" t="s">
        <v>134</v>
      </c>
      <c r="C47" s="23" t="s">
        <v>8</v>
      </c>
      <c r="D47" s="24">
        <v>2026</v>
      </c>
      <c r="E47" s="25" t="s">
        <v>90</v>
      </c>
      <c r="F47" s="25" t="s">
        <v>132</v>
      </c>
      <c r="G47" s="26">
        <v>89</v>
      </c>
      <c r="H47" s="26">
        <v>92</v>
      </c>
      <c r="I47" s="26">
        <v>9</v>
      </c>
      <c r="J47" s="26">
        <v>8</v>
      </c>
      <c r="K47" s="26">
        <v>92</v>
      </c>
      <c r="L47" s="26">
        <f>IF(COUNT(G47:K47)=0,"",(SUM(G47:H47,K47)+10*SUM(I47:J47))/COUNT(G47:K47))</f>
        <v>88.6</v>
      </c>
      <c r="M47" s="26">
        <v>8.787878787878787</v>
      </c>
      <c r="N47" s="27"/>
      <c r="O47" s="25" t="s">
        <v>135</v>
      </c>
      <c r="P47" s="28" t="s">
        <v>12</v>
      </c>
    </row>
    <row r="48" spans="1:16" ht="64" customHeight="1">
      <c r="A48" s="29">
        <v>42</v>
      </c>
      <c r="B48" s="30" t="s">
        <v>136</v>
      </c>
      <c r="C48" s="31" t="s">
        <v>8</v>
      </c>
      <c r="D48" s="32">
        <v>2016</v>
      </c>
      <c r="E48" s="33" t="s">
        <v>137</v>
      </c>
      <c r="F48" s="33" t="s">
        <v>78</v>
      </c>
      <c r="G48" s="34">
        <v>89</v>
      </c>
      <c r="H48" s="34">
        <v>86</v>
      </c>
      <c r="I48" s="34">
        <v>9</v>
      </c>
      <c r="J48" s="34">
        <v>9</v>
      </c>
      <c r="K48" s="34">
        <v>89</v>
      </c>
      <c r="L48" s="34">
        <f>IF(COUNT(G48:K48)=0,"",(SUM(G48:H48,K48)+10*SUM(I48:J48))/COUNT(G48:K48))</f>
        <v>88.8</v>
      </c>
      <c r="M48" s="34">
        <v>8.757575757575758</v>
      </c>
      <c r="N48" s="35"/>
      <c r="O48" s="33" t="s">
        <v>138</v>
      </c>
      <c r="P48" s="36" t="s">
        <v>12</v>
      </c>
    </row>
    <row r="49" spans="1:16" ht="64" customHeight="1">
      <c r="A49" s="21">
        <v>43</v>
      </c>
      <c r="B49" s="22" t="s">
        <v>139</v>
      </c>
      <c r="C49" s="23" t="s">
        <v>8</v>
      </c>
      <c r="D49" s="24">
        <v>2017</v>
      </c>
      <c r="E49" s="25" t="s">
        <v>140</v>
      </c>
      <c r="F49" s="25" t="s">
        <v>85</v>
      </c>
      <c r="G49" s="26">
        <v>68</v>
      </c>
      <c r="H49" s="26">
        <v>68</v>
      </c>
      <c r="I49" s="26">
        <v>8</v>
      </c>
      <c r="J49" s="26">
        <v>8</v>
      </c>
      <c r="K49" s="26">
        <v>80</v>
      </c>
      <c r="L49" s="26">
        <f>IF(COUNT(G49:K49)=0,"",(SUM(G49:H49,K49)+10*SUM(I49:J49))/COUNT(G49:K49))</f>
        <v>75.2</v>
      </c>
      <c r="M49" s="26">
        <v>8.727272727272727</v>
      </c>
      <c r="N49" s="27"/>
      <c r="O49" s="25" t="s">
        <v>141</v>
      </c>
      <c r="P49" s="28" t="s">
        <v>12</v>
      </c>
    </row>
    <row r="50" spans="1:16" ht="64" customHeight="1">
      <c r="A50" s="29">
        <v>44</v>
      </c>
      <c r="B50" s="30" t="s">
        <v>142</v>
      </c>
      <c r="C50" s="31" t="s">
        <v>8</v>
      </c>
      <c r="D50" s="32">
        <v>2019</v>
      </c>
      <c r="E50" s="33" t="s">
        <v>143</v>
      </c>
      <c r="F50" s="33" t="s">
        <v>144</v>
      </c>
      <c r="G50" s="34">
        <v>90</v>
      </c>
      <c r="H50" s="34">
        <v>90</v>
      </c>
      <c r="I50" s="34"/>
      <c r="J50" s="34">
        <v>9</v>
      </c>
      <c r="K50" s="34">
        <v>90</v>
      </c>
      <c r="L50" s="34">
        <f>IF(COUNT(G50:K50)=0,"",(SUM(G50:H50,K50)+10*SUM(I50:J50))/COUNT(G50:K50))</f>
        <v>90.0</v>
      </c>
      <c r="M50" s="34">
        <v>8.696969696969697</v>
      </c>
      <c r="N50" s="35"/>
      <c r="O50" s="33" t="s">
        <v>145</v>
      </c>
      <c r="P50" s="36" t="s">
        <v>12</v>
      </c>
    </row>
    <row r="51" spans="1:16" ht="64" customHeight="1">
      <c r="A51" s="21">
        <v>45</v>
      </c>
      <c r="B51" s="22" t="s">
        <v>146</v>
      </c>
      <c r="C51" s="23" t="s">
        <v>8</v>
      </c>
      <c r="D51" s="24">
        <v>2015</v>
      </c>
      <c r="E51" s="25" t="s">
        <v>147</v>
      </c>
      <c r="F51" s="25" t="s">
        <v>144</v>
      </c>
      <c r="G51" s="26">
        <v>92</v>
      </c>
      <c r="H51" s="26"/>
      <c r="I51" s="26"/>
      <c r="J51" s="26">
        <v>9</v>
      </c>
      <c r="K51" s="26"/>
      <c r="L51" s="26">
        <f>IF(COUNT(G51:K51)=0,"",(SUM(G51:H51,K51)+10*SUM(I51:J51))/COUNT(G51:K51))</f>
        <v>91.0</v>
      </c>
      <c r="M51" s="26">
        <v>8.666666666666666</v>
      </c>
      <c r="N51" s="27"/>
      <c r="O51" s="25" t="s">
        <v>148</v>
      </c>
      <c r="P51" s="28" t="s">
        <v>12</v>
      </c>
    </row>
    <row r="52" spans="1:16" ht="64" customHeight="1">
      <c r="A52" s="29">
        <v>46</v>
      </c>
      <c r="B52" s="30" t="s">
        <v>149</v>
      </c>
      <c r="C52" s="31" t="s">
        <v>8</v>
      </c>
      <c r="D52" s="32">
        <v>2002</v>
      </c>
      <c r="E52" s="33" t="s">
        <v>67</v>
      </c>
      <c r="F52" s="33" t="s">
        <v>10</v>
      </c>
      <c r="G52" s="34">
        <v>95</v>
      </c>
      <c r="H52" s="34"/>
      <c r="I52" s="34">
        <v>9.6</v>
      </c>
      <c r="J52" s="34">
        <v>9.6</v>
      </c>
      <c r="K52" s="34"/>
      <c r="L52" s="34">
        <f>IF(COUNT(G52:K52)=0,"",(SUM(G52:H52,K52)+10*SUM(I52:J52))/COUNT(G52:K52))</f>
        <v>95.66666666666667</v>
      </c>
      <c r="M52" s="34">
        <v>8.636363636363637</v>
      </c>
      <c r="N52" s="35"/>
      <c r="O52" s="33" t="s">
        <v>150</v>
      </c>
      <c r="P52" s="36" t="s">
        <v>12</v>
      </c>
    </row>
    <row r="53" spans="1:16" ht="64" customHeight="1">
      <c r="A53" s="21">
        <v>47</v>
      </c>
      <c r="B53" s="22" t="s">
        <v>151</v>
      </c>
      <c r="C53" s="23" t="s">
        <v>8</v>
      </c>
      <c r="D53" s="24">
        <v>2019</v>
      </c>
      <c r="E53" s="25" t="s">
        <v>137</v>
      </c>
      <c r="F53" s="25" t="s">
        <v>24</v>
      </c>
      <c r="G53" s="26">
        <v>81</v>
      </c>
      <c r="H53" s="26">
        <v>80</v>
      </c>
      <c r="I53" s="26">
        <v>9</v>
      </c>
      <c r="J53" s="26">
        <v>9</v>
      </c>
      <c r="K53" s="26">
        <v>81</v>
      </c>
      <c r="L53" s="26">
        <f>IF(COUNT(G53:K53)=0,"",(SUM(G53:H53,K53)+10*SUM(I53:J53))/COUNT(G53:K53))</f>
        <v>84.4</v>
      </c>
      <c r="M53" s="26">
        <v>8.606060606060606</v>
      </c>
      <c r="N53" s="27"/>
      <c r="O53" s="25" t="s">
        <v>152</v>
      </c>
      <c r="P53" s="28" t="s">
        <v>12</v>
      </c>
    </row>
    <row r="54" spans="1:16" ht="64" customHeight="1">
      <c r="A54" s="29">
        <v>48</v>
      </c>
      <c r="B54" s="30" t="s">
        <v>153</v>
      </c>
      <c r="C54" s="31" t="s">
        <v>8</v>
      </c>
      <c r="D54" s="32">
        <v>2017</v>
      </c>
      <c r="E54" s="33" t="s">
        <v>154</v>
      </c>
      <c r="F54" s="33" t="s">
        <v>58</v>
      </c>
      <c r="G54" s="34">
        <v>89</v>
      </c>
      <c r="H54" s="34">
        <v>84</v>
      </c>
      <c r="I54" s="34">
        <v>9.300000000000001</v>
      </c>
      <c r="J54" s="34">
        <v>9</v>
      </c>
      <c r="K54" s="34">
        <v>85</v>
      </c>
      <c r="L54" s="34">
        <f>IF(COUNT(G54:K54)=0,"",(SUM(G54:H54,K54)+10*SUM(I54:J54))/COUNT(G54:K54))</f>
        <v>88.2</v>
      </c>
      <c r="M54" s="34">
        <v>8.6</v>
      </c>
      <c r="N54" s="35" t="s">
        <v>20</v>
      </c>
      <c r="O54" s="33" t="s">
        <v>155</v>
      </c>
      <c r="P54" s="36" t="s">
        <v>12</v>
      </c>
    </row>
    <row r="55" spans="1:16" ht="64" customHeight="1">
      <c r="A55" s="21">
        <v>49</v>
      </c>
      <c r="B55" s="22" t="s">
        <v>156</v>
      </c>
      <c r="C55" s="23" t="s">
        <v>8</v>
      </c>
      <c r="D55" s="24">
        <v>2022</v>
      </c>
      <c r="E55" s="25" t="s">
        <v>154</v>
      </c>
      <c r="F55" s="25" t="s">
        <v>58</v>
      </c>
      <c r="G55" s="26">
        <v>88</v>
      </c>
      <c r="H55" s="26">
        <v>88</v>
      </c>
      <c r="I55" s="26">
        <v>9</v>
      </c>
      <c r="J55" s="26">
        <v>9</v>
      </c>
      <c r="K55" s="26">
        <v>87</v>
      </c>
      <c r="L55" s="26">
        <f>IF(COUNT(G55:K55)=0,"",(SUM(G55:H55,K55)+10*SUM(I55:J55))/COUNT(G55:K55))</f>
        <v>88.6</v>
      </c>
      <c r="M55" s="26">
        <v>8.5</v>
      </c>
      <c r="N55" s="27" t="s">
        <v>20</v>
      </c>
      <c r="O55" s="25" t="s">
        <v>157</v>
      </c>
      <c r="P55" s="28" t="s">
        <v>12</v>
      </c>
    </row>
    <row r="56" spans="1:16" ht="64" customHeight="1">
      <c r="A56" s="29">
        <v>50</v>
      </c>
      <c r="B56" s="30" t="s">
        <v>158</v>
      </c>
      <c r="C56" s="31" t="s">
        <v>8</v>
      </c>
      <c r="D56" s="32">
        <v>2020</v>
      </c>
      <c r="E56" s="33" t="s">
        <v>159</v>
      </c>
      <c r="F56" s="33" t="s">
        <v>112</v>
      </c>
      <c r="G56" s="34">
        <v>83</v>
      </c>
      <c r="H56" s="34">
        <v>87</v>
      </c>
      <c r="I56" s="34">
        <v>9</v>
      </c>
      <c r="J56" s="34">
        <v>7</v>
      </c>
      <c r="K56" s="34">
        <v>87</v>
      </c>
      <c r="L56" s="34">
        <f>IF(COUNT(G56:K56)=0,"",(SUM(G56:H56,K56)+10*SUM(I56:J56))/COUNT(G56:K56))</f>
        <v>83.4</v>
      </c>
      <c r="M56" s="34">
        <v>8.515151515151516</v>
      </c>
      <c r="N56" s="35"/>
      <c r="O56" s="33" t="s">
        <v>160</v>
      </c>
      <c r="P56" s="36" t="s">
        <v>12</v>
      </c>
    </row>
    <row r="57" spans="1:16" ht="64" customHeight="1">
      <c r="A57" s="21">
        <v>51</v>
      </c>
      <c r="B57" s="22" t="s">
        <v>161</v>
      </c>
      <c r="C57" s="37" t="s">
        <v>162</v>
      </c>
      <c r="D57" s="24">
        <v>2020</v>
      </c>
      <c r="E57" s="25" t="s">
        <v>163</v>
      </c>
      <c r="F57" s="25" t="s">
        <v>78</v>
      </c>
      <c r="G57" s="26">
        <v>88</v>
      </c>
      <c r="H57" s="26">
        <v>88</v>
      </c>
      <c r="I57" s="26">
        <v>9</v>
      </c>
      <c r="J57" s="26">
        <v>8</v>
      </c>
      <c r="K57" s="26">
        <v>94</v>
      </c>
      <c r="L57" s="26">
        <f>IF(COUNT(G57:K57)=0,"",(SUM(G57:H57,K57)+10*SUM(I57:J57))/COUNT(G57:K57))</f>
        <v>88.0</v>
      </c>
      <c r="M57" s="26">
        <v>8.484848484848484</v>
      </c>
      <c r="N57" s="27"/>
      <c r="O57" s="25" t="s">
        <v>164</v>
      </c>
      <c r="P57" s="28" t="s">
        <v>12</v>
      </c>
    </row>
    <row r="58" spans="1:16" ht="64" customHeight="1">
      <c r="A58" s="29">
        <v>52</v>
      </c>
      <c r="B58" s="30" t="s">
        <v>165</v>
      </c>
      <c r="C58" s="38" t="s">
        <v>162</v>
      </c>
      <c r="D58" s="32">
        <v>2023</v>
      </c>
      <c r="E58" s="33" t="s">
        <v>137</v>
      </c>
      <c r="F58" s="33" t="s">
        <v>24</v>
      </c>
      <c r="G58" s="34">
        <v>85</v>
      </c>
      <c r="H58" s="34">
        <v>79</v>
      </c>
      <c r="I58" s="34">
        <v>9</v>
      </c>
      <c r="J58" s="34">
        <v>9</v>
      </c>
      <c r="K58" s="34">
        <v>85</v>
      </c>
      <c r="L58" s="34">
        <f>IF(COUNT(G58:K58)=0,"",(SUM(G58:H58,K58)+10*SUM(I58:J58))/COUNT(G58:K58))</f>
        <v>85.8</v>
      </c>
      <c r="M58" s="34">
        <v>8.454545454545455</v>
      </c>
      <c r="N58" s="35"/>
      <c r="O58" s="33" t="s">
        <v>166</v>
      </c>
      <c r="P58" s="36" t="s">
        <v>12</v>
      </c>
    </row>
    <row r="59" spans="1:16" ht="64" customHeight="1">
      <c r="A59" s="21">
        <v>53</v>
      </c>
      <c r="B59" s="22" t="s">
        <v>167</v>
      </c>
      <c r="C59" s="37" t="s">
        <v>162</v>
      </c>
      <c r="D59" s="24">
        <v>2019</v>
      </c>
      <c r="E59" s="25" t="s">
        <v>168</v>
      </c>
      <c r="F59" s="25" t="s">
        <v>169</v>
      </c>
      <c r="G59" s="26">
        <v>82</v>
      </c>
      <c r="H59" s="26">
        <v>85</v>
      </c>
      <c r="I59" s="26">
        <v>6.8</v>
      </c>
      <c r="J59" s="26">
        <v>9</v>
      </c>
      <c r="K59" s="26">
        <v>83</v>
      </c>
      <c r="L59" s="26">
        <f>IF(COUNT(G59:K59)=0,"",(SUM(G59:H59,K59)+10*SUM(I59:J59))/COUNT(G59:K59))</f>
        <v>81.6</v>
      </c>
      <c r="M59" s="26">
        <v>8.424242424242424</v>
      </c>
      <c r="N59" s="27"/>
      <c r="O59" s="25" t="s">
        <v>170</v>
      </c>
      <c r="P59" s="28" t="s">
        <v>12</v>
      </c>
    </row>
    <row r="60" spans="1:16" ht="64" customHeight="1">
      <c r="A60" s="29">
        <v>54</v>
      </c>
      <c r="B60" s="30" t="s">
        <v>171</v>
      </c>
      <c r="C60" s="38" t="s">
        <v>162</v>
      </c>
      <c r="D60" s="32">
        <v>2025</v>
      </c>
      <c r="E60" s="33" t="s">
        <v>168</v>
      </c>
      <c r="F60" s="33" t="s">
        <v>169</v>
      </c>
      <c r="G60" s="34">
        <v>90</v>
      </c>
      <c r="H60" s="34">
        <v>90</v>
      </c>
      <c r="I60" s="34">
        <v>9</v>
      </c>
      <c r="J60" s="34">
        <v>9</v>
      </c>
      <c r="K60" s="34">
        <v>90</v>
      </c>
      <c r="L60" s="34">
        <f>IF(COUNT(G60:K60)=0,"",(SUM(G60:H60,K60)+10*SUM(I60:J60))/COUNT(G60:K60))</f>
        <v>90.0</v>
      </c>
      <c r="M60" s="34">
        <v>8.393939393939394</v>
      </c>
      <c r="N60" s="35"/>
      <c r="O60" s="33" t="s">
        <v>172</v>
      </c>
      <c r="P60" s="36" t="s">
        <v>12</v>
      </c>
    </row>
    <row r="61" spans="1:16" ht="64" customHeight="1">
      <c r="A61" s="21">
        <v>55</v>
      </c>
      <c r="B61" s="22" t="s">
        <v>173</v>
      </c>
      <c r="C61" s="37" t="s">
        <v>162</v>
      </c>
      <c r="D61" s="24">
        <v>2020</v>
      </c>
      <c r="E61" s="25" t="s">
        <v>174</v>
      </c>
      <c r="F61" s="25" t="s">
        <v>144</v>
      </c>
      <c r="G61" s="26">
        <v>87</v>
      </c>
      <c r="H61" s="26">
        <v>89</v>
      </c>
      <c r="I61" s="26">
        <v>8</v>
      </c>
      <c r="J61" s="26">
        <v>8</v>
      </c>
      <c r="K61" s="26">
        <v>80</v>
      </c>
      <c r="L61" s="26">
        <f>IF(COUNT(G61:K61)=0,"",(SUM(G61:H61,K61)+10*SUM(I61:J61))/COUNT(G61:K61))</f>
        <v>83.2</v>
      </c>
      <c r="M61" s="26">
        <v>8.363636363636363</v>
      </c>
      <c r="N61" s="27"/>
      <c r="O61" s="25" t="s">
        <v>175</v>
      </c>
      <c r="P61" s="28" t="s">
        <v>12</v>
      </c>
    </row>
    <row r="62" spans="1:16" ht="64" customHeight="1">
      <c r="A62" s="29">
        <v>56</v>
      </c>
      <c r="B62" s="30" t="s">
        <v>176</v>
      </c>
      <c r="C62" s="38" t="s">
        <v>162</v>
      </c>
      <c r="D62" s="32">
        <v>2023</v>
      </c>
      <c r="E62" s="33" t="s">
        <v>174</v>
      </c>
      <c r="F62" s="33" t="s">
        <v>144</v>
      </c>
      <c r="G62" s="34">
        <v>87</v>
      </c>
      <c r="H62" s="34">
        <v>89</v>
      </c>
      <c r="I62" s="34">
        <v>9</v>
      </c>
      <c r="J62" s="34">
        <v>9</v>
      </c>
      <c r="K62" s="34">
        <v>80</v>
      </c>
      <c r="L62" s="34">
        <f>IF(COUNT(G62:K62)=0,"",(SUM(G62:H62,K62)+10*SUM(I62:J62))/COUNT(G62:K62))</f>
        <v>87.2</v>
      </c>
      <c r="M62" s="34">
        <v>8.333333333333334</v>
      </c>
      <c r="N62" s="35"/>
      <c r="O62" s="33" t="s">
        <v>177</v>
      </c>
      <c r="P62" s="36" t="s">
        <v>12</v>
      </c>
    </row>
    <row r="63" spans="1:16" ht="64" customHeight="1">
      <c r="A63" s="21">
        <v>57</v>
      </c>
      <c r="B63" s="22" t="s">
        <v>178</v>
      </c>
      <c r="C63" s="37" t="s">
        <v>162</v>
      </c>
      <c r="D63" s="24">
        <v>2016</v>
      </c>
      <c r="E63" s="25" t="s">
        <v>174</v>
      </c>
      <c r="F63" s="25" t="s">
        <v>58</v>
      </c>
      <c r="G63" s="26">
        <v>81</v>
      </c>
      <c r="H63" s="26">
        <v>82</v>
      </c>
      <c r="I63" s="26"/>
      <c r="J63" s="26">
        <v>8</v>
      </c>
      <c r="K63" s="26">
        <v>85</v>
      </c>
      <c r="L63" s="26">
        <f>IF(COUNT(G63:K63)=0,"",(SUM(G63:H63,K63)+10*SUM(I63:J63))/COUNT(G63:K63))</f>
        <v>82.0</v>
      </c>
      <c r="M63" s="26">
        <v>8.303030303030303</v>
      </c>
      <c r="N63" s="27"/>
      <c r="O63" s="25" t="s">
        <v>179</v>
      </c>
      <c r="P63" s="28" t="s">
        <v>12</v>
      </c>
    </row>
    <row r="64" spans="1:16" ht="64" customHeight="1">
      <c r="A64" s="29">
        <v>58</v>
      </c>
      <c r="B64" s="30" t="s">
        <v>180</v>
      </c>
      <c r="C64" s="38" t="s">
        <v>162</v>
      </c>
      <c r="D64" s="32">
        <v>2005</v>
      </c>
      <c r="E64" s="33" t="s">
        <v>174</v>
      </c>
      <c r="F64" s="33" t="s">
        <v>144</v>
      </c>
      <c r="G64" s="34">
        <v>87</v>
      </c>
      <c r="H64" s="34"/>
      <c r="I64" s="34">
        <v>9</v>
      </c>
      <c r="J64" s="34">
        <v>9</v>
      </c>
      <c r="K64" s="34"/>
      <c r="L64" s="34">
        <f>IF(COUNT(G64:K64)=0,"",(SUM(G64:H64,K64)+10*SUM(I64:J64))/COUNT(G64:K64))</f>
        <v>89.0</v>
      </c>
      <c r="M64" s="34">
        <v>8.272727272727273</v>
      </c>
      <c r="N64" s="35"/>
      <c r="O64" s="33" t="s">
        <v>181</v>
      </c>
      <c r="P64" s="36" t="s">
        <v>12</v>
      </c>
    </row>
    <row r="65" spans="1:16" ht="64" customHeight="1">
      <c r="A65" s="21">
        <v>59</v>
      </c>
      <c r="B65" s="22" t="s">
        <v>182</v>
      </c>
      <c r="C65" s="37" t="s">
        <v>162</v>
      </c>
      <c r="D65" s="24">
        <v>2017</v>
      </c>
      <c r="E65" s="25" t="s">
        <v>183</v>
      </c>
      <c r="F65" s="25" t="s">
        <v>144</v>
      </c>
      <c r="G65" s="26">
        <v>88</v>
      </c>
      <c r="H65" s="26">
        <v>84</v>
      </c>
      <c r="I65" s="26"/>
      <c r="J65" s="26">
        <v>8</v>
      </c>
      <c r="K65" s="26">
        <v>87</v>
      </c>
      <c r="L65" s="26">
        <f>IF(COUNT(G65:K65)=0,"",(SUM(G65:H65,K65)+10*SUM(I65:J65))/COUNT(G65:K65))</f>
        <v>84.75</v>
      </c>
      <c r="M65" s="26">
        <v>8.242424242424242</v>
      </c>
      <c r="N65" s="27"/>
      <c r="O65" s="25" t="s">
        <v>184</v>
      </c>
      <c r="P65" s="28" t="s">
        <v>12</v>
      </c>
    </row>
    <row r="66" spans="1:16" ht="64" customHeight="1">
      <c r="A66" s="29">
        <v>60</v>
      </c>
      <c r="B66" s="30" t="s">
        <v>185</v>
      </c>
      <c r="C66" s="38" t="s">
        <v>162</v>
      </c>
      <c r="D66" s="32">
        <v>2000</v>
      </c>
      <c r="E66" s="33" t="s">
        <v>186</v>
      </c>
      <c r="F66" s="33" t="s">
        <v>144</v>
      </c>
      <c r="G66" s="34">
        <v>88</v>
      </c>
      <c r="H66" s="34"/>
      <c r="I66" s="34">
        <v>9</v>
      </c>
      <c r="J66" s="34">
        <v>9</v>
      </c>
      <c r="K66" s="34"/>
      <c r="L66" s="34">
        <f>IF(COUNT(G66:K66)=0,"",(SUM(G66:H66,K66)+10*SUM(I66:J66))/COUNT(G66:K66))</f>
        <v>89.33333333333333</v>
      </c>
      <c r="M66" s="34">
        <v>8.212121212121213</v>
      </c>
      <c r="N66" s="35"/>
      <c r="O66" s="33" t="s">
        <v>187</v>
      </c>
      <c r="P66" s="36" t="s">
        <v>12</v>
      </c>
    </row>
    <row r="67" spans="1:16" ht="64" customHeight="1">
      <c r="A67" s="21">
        <v>61</v>
      </c>
      <c r="B67" s="22" t="s">
        <v>188</v>
      </c>
      <c r="C67" s="37" t="s">
        <v>162</v>
      </c>
      <c r="D67" s="24">
        <v>2023</v>
      </c>
      <c r="E67" s="25" t="s">
        <v>186</v>
      </c>
      <c r="F67" s="25" t="s">
        <v>144</v>
      </c>
      <c r="G67" s="26">
        <v>91</v>
      </c>
      <c r="H67" s="26">
        <v>90</v>
      </c>
      <c r="I67" s="26"/>
      <c r="J67" s="26">
        <v>9</v>
      </c>
      <c r="K67" s="26">
        <v>86</v>
      </c>
      <c r="L67" s="26">
        <f>IF(COUNT(G67:K67)=0,"",(SUM(G67:H67,K67)+10*SUM(I67:J67))/COUNT(G67:K67))</f>
        <v>89.25</v>
      </c>
      <c r="M67" s="26">
        <v>8.181818181818182</v>
      </c>
      <c r="N67" s="27"/>
      <c r="O67" s="25" t="s">
        <v>189</v>
      </c>
      <c r="P67" s="28" t="s">
        <v>12</v>
      </c>
    </row>
    <row r="68" spans="1:16" ht="64" customHeight="1">
      <c r="A68" s="29">
        <v>62</v>
      </c>
      <c r="B68" s="30" t="s">
        <v>190</v>
      </c>
      <c r="C68" s="38" t="s">
        <v>162</v>
      </c>
      <c r="D68" s="32">
        <v>2004</v>
      </c>
      <c r="E68" s="33" t="s">
        <v>186</v>
      </c>
      <c r="F68" s="33" t="s">
        <v>191</v>
      </c>
      <c r="G68" s="34">
        <v>93</v>
      </c>
      <c r="H68" s="34"/>
      <c r="I68" s="34">
        <v>9.5</v>
      </c>
      <c r="J68" s="34">
        <v>9</v>
      </c>
      <c r="K68" s="34"/>
      <c r="L68" s="34">
        <f>IF(COUNT(G68:K68)=0,"",(SUM(G68:H68,K68)+10*SUM(I68:J68))/COUNT(G68:K68))</f>
        <v>92.66666666666667</v>
      </c>
      <c r="M68" s="34">
        <v>8.151515151515152</v>
      </c>
      <c r="N68" s="35"/>
      <c r="O68" s="33" t="s">
        <v>192</v>
      </c>
      <c r="P68" s="36" t="s">
        <v>12</v>
      </c>
    </row>
    <row r="69" spans="1:16" ht="64" customHeight="1">
      <c r="A69" s="21">
        <v>63</v>
      </c>
      <c r="B69" s="22" t="s">
        <v>193</v>
      </c>
      <c r="C69" s="37" t="s">
        <v>162</v>
      </c>
      <c r="D69" s="24">
        <v>2010</v>
      </c>
      <c r="E69" s="25" t="s">
        <v>186</v>
      </c>
      <c r="F69" s="25" t="s">
        <v>194</v>
      </c>
      <c r="G69" s="26">
        <v>93</v>
      </c>
      <c r="H69" s="26">
        <v>93</v>
      </c>
      <c r="I69" s="26"/>
      <c r="J69" s="26">
        <v>9</v>
      </c>
      <c r="K69" s="26">
        <v>93</v>
      </c>
      <c r="L69" s="26">
        <f>IF(COUNT(G69:K69)=0,"",(SUM(G69:H69,K69)+10*SUM(I69:J69))/COUNT(G69:K69))</f>
        <v>92.25</v>
      </c>
      <c r="M69" s="26">
        <v>8.121212121212121</v>
      </c>
      <c r="N69" s="27"/>
      <c r="O69" s="25" t="s">
        <v>195</v>
      </c>
      <c r="P69" s="28" t="s">
        <v>12</v>
      </c>
    </row>
    <row r="70" spans="1:16" ht="64" customHeight="1">
      <c r="A70" s="29">
        <v>64</v>
      </c>
      <c r="B70" s="30" t="s">
        <v>196</v>
      </c>
      <c r="C70" s="38" t="s">
        <v>162</v>
      </c>
      <c r="D70" s="32">
        <v>2002</v>
      </c>
      <c r="E70" s="33" t="s">
        <v>186</v>
      </c>
      <c r="F70" s="33" t="s">
        <v>194</v>
      </c>
      <c r="G70" s="34">
        <v>92</v>
      </c>
      <c r="H70" s="34"/>
      <c r="I70" s="34">
        <v>9.5</v>
      </c>
      <c r="J70" s="34">
        <v>9</v>
      </c>
      <c r="K70" s="34"/>
      <c r="L70" s="34">
        <f>IF(COUNT(G70:K70)=0,"",(SUM(G70:H70,K70)+10*SUM(I70:J70))/COUNT(G70:K70))</f>
        <v>92.33333333333333</v>
      </c>
      <c r="M70" s="34">
        <v>8.09090909090909</v>
      </c>
      <c r="N70" s="35"/>
      <c r="O70" s="33" t="s">
        <v>197</v>
      </c>
      <c r="P70" s="36" t="s">
        <v>12</v>
      </c>
    </row>
    <row r="71" spans="1:16" ht="64" customHeight="1">
      <c r="A71" s="21">
        <v>65</v>
      </c>
      <c r="B71" s="22" t="s">
        <v>198</v>
      </c>
      <c r="C71" s="37" t="s">
        <v>162</v>
      </c>
      <c r="D71" s="24">
        <v>2016</v>
      </c>
      <c r="E71" s="25" t="s">
        <v>186</v>
      </c>
      <c r="F71" s="25" t="s">
        <v>199</v>
      </c>
      <c r="G71" s="26">
        <v>91</v>
      </c>
      <c r="H71" s="26">
        <v>91</v>
      </c>
      <c r="I71" s="26">
        <v>9.5</v>
      </c>
      <c r="J71" s="26">
        <v>9</v>
      </c>
      <c r="K71" s="26">
        <v>90</v>
      </c>
      <c r="L71" s="26">
        <f>IF(COUNT(G71:K71)=0,"",(SUM(G71:H71,K71)+10*SUM(I71:J71))/COUNT(G71:K71))</f>
        <v>91.4</v>
      </c>
      <c r="M71" s="26">
        <v>8.060606060606061</v>
      </c>
      <c r="N71" s="27"/>
      <c r="O71" s="25" t="s">
        <v>200</v>
      </c>
      <c r="P71" s="28" t="s">
        <v>12</v>
      </c>
    </row>
    <row r="72" spans="1:16" ht="64" customHeight="1">
      <c r="A72" s="29">
        <v>66</v>
      </c>
      <c r="B72" s="30" t="s">
        <v>201</v>
      </c>
      <c r="C72" s="38" t="s">
        <v>162</v>
      </c>
      <c r="D72" s="32">
        <v>2009</v>
      </c>
      <c r="E72" s="33" t="s">
        <v>108</v>
      </c>
      <c r="F72" s="33" t="s">
        <v>78</v>
      </c>
      <c r="G72" s="34">
        <v>94</v>
      </c>
      <c r="H72" s="34">
        <v>94</v>
      </c>
      <c r="I72" s="34">
        <v>9.5</v>
      </c>
      <c r="J72" s="34">
        <v>9.5</v>
      </c>
      <c r="K72" s="34"/>
      <c r="L72" s="34">
        <f>IF(COUNT(G72:K72)=0,"",(SUM(G72:H72,K72)+10*SUM(I72:J72))/COUNT(G72:K72))</f>
        <v>94.5</v>
      </c>
      <c r="M72" s="34">
        <v>8.030303030303031</v>
      </c>
      <c r="N72" s="35"/>
      <c r="O72" s="33" t="s">
        <v>202</v>
      </c>
      <c r="P72" s="36" t="s">
        <v>12</v>
      </c>
    </row>
    <row r="73" spans="1:16" ht="64" customHeight="1">
      <c r="A73" s="21">
        <v>67</v>
      </c>
      <c r="B73" s="22" t="s">
        <v>203</v>
      </c>
      <c r="C73" s="37" t="s">
        <v>162</v>
      </c>
      <c r="D73" s="24">
        <v>2010</v>
      </c>
      <c r="E73" s="25" t="s">
        <v>204</v>
      </c>
      <c r="F73" s="25" t="s">
        <v>78</v>
      </c>
      <c r="G73" s="26">
        <v>88</v>
      </c>
      <c r="H73" s="26">
        <v>81</v>
      </c>
      <c r="I73" s="26">
        <v>9</v>
      </c>
      <c r="J73" s="26">
        <v>9</v>
      </c>
      <c r="K73" s="26"/>
      <c r="L73" s="26">
        <f>IF(COUNT(G73:K73)=0,"",(SUM(G73:H73,K73)+10*SUM(I73:J73))/COUNT(G73:K73))</f>
        <v>87.25</v>
      </c>
      <c r="M73" s="26">
        <v>8</v>
      </c>
      <c r="N73" s="27"/>
      <c r="O73" s="25" t="s">
        <v>205</v>
      </c>
      <c r="P73" s="28" t="s">
        <v>12</v>
      </c>
    </row>
    <row r="74" spans="1:16" ht="64" customHeight="1">
      <c r="A74" s="29">
        <v>68</v>
      </c>
      <c r="B74" s="30" t="s">
        <v>206</v>
      </c>
      <c r="C74" s="38" t="s">
        <v>162</v>
      </c>
      <c r="D74" s="32">
        <v>2012</v>
      </c>
      <c r="E74" s="33" t="s">
        <v>204</v>
      </c>
      <c r="F74" s="33" t="s">
        <v>78</v>
      </c>
      <c r="G74" s="34">
        <v>83</v>
      </c>
      <c r="H74" s="34">
        <v>81</v>
      </c>
      <c r="I74" s="34">
        <v>9</v>
      </c>
      <c r="J74" s="34">
        <v>9</v>
      </c>
      <c r="K74" s="34">
        <v>85</v>
      </c>
      <c r="L74" s="34">
        <f>IF(COUNT(G74:K74)=0,"",(SUM(G74:H74,K74)+10*SUM(I74:J74))/COUNT(G74:K74))</f>
        <v>85.8</v>
      </c>
      <c r="M74" s="34">
        <v>7.96969696969697</v>
      </c>
      <c r="N74" s="35"/>
      <c r="O74" s="33" t="s">
        <v>207</v>
      </c>
      <c r="P74" s="36" t="s">
        <v>12</v>
      </c>
    </row>
    <row r="75" spans="1:16" ht="64" customHeight="1">
      <c r="A75" s="21">
        <v>69</v>
      </c>
      <c r="B75" s="22" t="s">
        <v>208</v>
      </c>
      <c r="C75" s="37" t="s">
        <v>162</v>
      </c>
      <c r="D75" s="24">
        <v>2016</v>
      </c>
      <c r="E75" s="25" t="s">
        <v>140</v>
      </c>
      <c r="F75" s="25" t="s">
        <v>78</v>
      </c>
      <c r="G75" s="26">
        <v>89</v>
      </c>
      <c r="H75" s="26">
        <v>87</v>
      </c>
      <c r="I75" s="26">
        <v>9</v>
      </c>
      <c r="J75" s="26">
        <v>8</v>
      </c>
      <c r="K75" s="26">
        <v>84</v>
      </c>
      <c r="L75" s="26">
        <f>IF(COUNT(G75:K75)=0,"",(SUM(G75:H75,K75)+10*SUM(I75:J75))/COUNT(G75:K75))</f>
        <v>86.0</v>
      </c>
      <c r="M75" s="26">
        <v>7.939393939393939</v>
      </c>
      <c r="N75" s="27"/>
      <c r="O75" s="25" t="s">
        <v>209</v>
      </c>
      <c r="P75" s="28" t="s">
        <v>12</v>
      </c>
    </row>
    <row r="76" spans="1:16" ht="64" customHeight="1">
      <c r="A76" s="29">
        <v>70</v>
      </c>
      <c r="B76" s="30" t="s">
        <v>210</v>
      </c>
      <c r="C76" s="38" t="s">
        <v>162</v>
      </c>
      <c r="D76" s="32">
        <v>2011</v>
      </c>
      <c r="E76" s="33" t="s">
        <v>140</v>
      </c>
      <c r="F76" s="33" t="s">
        <v>78</v>
      </c>
      <c r="G76" s="34">
        <v>85</v>
      </c>
      <c r="H76" s="34">
        <v>87</v>
      </c>
      <c r="I76" s="34">
        <v>9</v>
      </c>
      <c r="J76" s="34">
        <v>9</v>
      </c>
      <c r="K76" s="34"/>
      <c r="L76" s="34">
        <f>IF(COUNT(G76:K76)=0,"",(SUM(G76:H76,K76)+10*SUM(I76:J76))/COUNT(G76:K76))</f>
        <v>88.0</v>
      </c>
      <c r="M76" s="34">
        <v>7.909090909090909</v>
      </c>
      <c r="N76" s="35"/>
      <c r="O76" s="33" t="s">
        <v>211</v>
      </c>
      <c r="P76" s="36" t="s">
        <v>12</v>
      </c>
    </row>
    <row r="77" spans="1:16" ht="64" customHeight="1">
      <c r="A77" s="21">
        <v>71</v>
      </c>
      <c r="B77" s="22" t="s">
        <v>212</v>
      </c>
      <c r="C77" s="37" t="s">
        <v>162</v>
      </c>
      <c r="D77" s="24">
        <v>2013</v>
      </c>
      <c r="E77" s="25" t="s">
        <v>140</v>
      </c>
      <c r="F77" s="25" t="s">
        <v>78</v>
      </c>
      <c r="G77" s="26">
        <v>81</v>
      </c>
      <c r="H77" s="26">
        <v>84</v>
      </c>
      <c r="I77" s="26">
        <v>8.5</v>
      </c>
      <c r="J77" s="26">
        <v>8</v>
      </c>
      <c r="K77" s="26"/>
      <c r="L77" s="26">
        <f>IF(COUNT(G77:K77)=0,"",(SUM(G77:H77,K77)+10*SUM(I77:J77))/COUNT(G77:K77))</f>
        <v>82.5</v>
      </c>
      <c r="M77" s="26">
        <v>7.878787878787879</v>
      </c>
      <c r="N77" s="27"/>
      <c r="O77" s="25" t="s">
        <v>213</v>
      </c>
      <c r="P77" s="28" t="s">
        <v>12</v>
      </c>
    </row>
    <row r="78" spans="1:16" ht="64" customHeight="1">
      <c r="A78" s="29">
        <v>72</v>
      </c>
      <c r="B78" s="30" t="s">
        <v>214</v>
      </c>
      <c r="C78" s="38" t="s">
        <v>162</v>
      </c>
      <c r="D78" s="32">
        <v>2015</v>
      </c>
      <c r="E78" s="33" t="s">
        <v>215</v>
      </c>
      <c r="F78" s="33" t="s">
        <v>216</v>
      </c>
      <c r="G78" s="34">
        <v>95</v>
      </c>
      <c r="H78" s="34">
        <v>91</v>
      </c>
      <c r="I78" s="34">
        <v>10</v>
      </c>
      <c r="J78" s="34">
        <v>10</v>
      </c>
      <c r="K78" s="34">
        <v>95</v>
      </c>
      <c r="L78" s="34">
        <f>IF(COUNT(G78:K78)=0,"",(SUM(G78:H78,K78)+10*SUM(I78:J78))/COUNT(G78:K78))</f>
        <v>96.2</v>
      </c>
      <c r="M78" s="34">
        <v>7.848484848484849</v>
      </c>
      <c r="N78" s="35"/>
      <c r="O78" s="33" t="s">
        <v>217</v>
      </c>
      <c r="P78" s="36" t="s">
        <v>12</v>
      </c>
    </row>
    <row r="79" spans="1:16" ht="64" customHeight="1">
      <c r="A79" s="21">
        <v>73</v>
      </c>
      <c r="B79" s="22" t="s">
        <v>218</v>
      </c>
      <c r="C79" s="37" t="s">
        <v>162</v>
      </c>
      <c r="D79" s="24">
        <v>2016</v>
      </c>
      <c r="E79" s="25" t="s">
        <v>219</v>
      </c>
      <c r="F79" s="25" t="s">
        <v>220</v>
      </c>
      <c r="G79" s="26">
        <v>85</v>
      </c>
      <c r="H79" s="26">
        <v>84</v>
      </c>
      <c r="I79" s="26">
        <v>9</v>
      </c>
      <c r="J79" s="26">
        <v>8</v>
      </c>
      <c r="K79" s="26">
        <v>88</v>
      </c>
      <c r="L79" s="26">
        <f>IF(COUNT(G79:K79)=0,"",(SUM(G79:H79,K79)+10*SUM(I79:J79))/COUNT(G79:K79))</f>
        <v>85.4</v>
      </c>
      <c r="M79" s="26">
        <v>7.818181818181818</v>
      </c>
      <c r="N79" s="27"/>
      <c r="O79" s="25" t="s">
        <v>221</v>
      </c>
      <c r="P79" s="28" t="s">
        <v>12</v>
      </c>
    </row>
    <row r="80" spans="1:16" ht="64" customHeight="1">
      <c r="A80" s="29">
        <v>74</v>
      </c>
      <c r="B80" s="30" t="s">
        <v>222</v>
      </c>
      <c r="C80" s="38" t="s">
        <v>162</v>
      </c>
      <c r="D80" s="32">
        <v>2016</v>
      </c>
      <c r="E80" s="33" t="s">
        <v>115</v>
      </c>
      <c r="F80" s="33" t="s">
        <v>116</v>
      </c>
      <c r="G80" s="34">
        <v>88</v>
      </c>
      <c r="H80" s="34">
        <v>88</v>
      </c>
      <c r="I80" s="34">
        <v>9</v>
      </c>
      <c r="J80" s="34">
        <v>9</v>
      </c>
      <c r="K80" s="34">
        <v>88</v>
      </c>
      <c r="L80" s="34">
        <f>IF(COUNT(G80:K80)=0,"",(SUM(G80:H80,K80)+10*SUM(I80:J80))/COUNT(G80:K80))</f>
        <v>88.8</v>
      </c>
      <c r="M80" s="34">
        <v>7.787878787878787</v>
      </c>
      <c r="N80" s="35"/>
      <c r="O80" s="33" t="s">
        <v>223</v>
      </c>
      <c r="P80" s="36" t="s">
        <v>12</v>
      </c>
    </row>
    <row r="81" spans="1:16" ht="64" customHeight="1">
      <c r="A81" s="21">
        <v>75</v>
      </c>
      <c r="B81" s="22" t="s">
        <v>224</v>
      </c>
      <c r="C81" s="37" t="s">
        <v>162</v>
      </c>
      <c r="D81" s="24">
        <v>2017</v>
      </c>
      <c r="E81" s="25" t="s">
        <v>115</v>
      </c>
      <c r="F81" s="25" t="s">
        <v>225</v>
      </c>
      <c r="G81" s="26">
        <v>84</v>
      </c>
      <c r="H81" s="26">
        <v>82</v>
      </c>
      <c r="I81" s="26">
        <v>8</v>
      </c>
      <c r="J81" s="26">
        <v>8</v>
      </c>
      <c r="K81" s="26">
        <v>84</v>
      </c>
      <c r="L81" s="26">
        <f>IF(COUNT(G81:K81)=0,"",(SUM(G81:H81,K81)+10*SUM(I81:J81))/COUNT(G81:K81))</f>
        <v>82.0</v>
      </c>
      <c r="M81" s="26">
        <v>7.757575757575758</v>
      </c>
      <c r="N81" s="27"/>
      <c r="O81" s="25" t="s">
        <v>226</v>
      </c>
      <c r="P81" s="28" t="s">
        <v>12</v>
      </c>
    </row>
    <row r="82" spans="1:16" ht="64" customHeight="1">
      <c r="A82" s="29">
        <v>76</v>
      </c>
      <c r="B82" s="30" t="s">
        <v>227</v>
      </c>
      <c r="C82" s="38" t="s">
        <v>162</v>
      </c>
      <c r="D82" s="32">
        <v>2017</v>
      </c>
      <c r="E82" s="33" t="s">
        <v>228</v>
      </c>
      <c r="F82" s="33" t="s">
        <v>132</v>
      </c>
      <c r="G82" s="34">
        <v>82</v>
      </c>
      <c r="H82" s="34">
        <v>80</v>
      </c>
      <c r="I82" s="34">
        <v>8</v>
      </c>
      <c r="J82" s="34">
        <v>8</v>
      </c>
      <c r="K82" s="34">
        <v>80</v>
      </c>
      <c r="L82" s="34">
        <f>IF(COUNT(G82:K82)=0,"",(SUM(G82:H82,K82)+10*SUM(I82:J82))/COUNT(G82:K82))</f>
        <v>80.4</v>
      </c>
      <c r="M82" s="34">
        <v>7.727272727272727</v>
      </c>
      <c r="N82" s="35"/>
      <c r="O82" s="33" t="s">
        <v>229</v>
      </c>
      <c r="P82" s="36" t="s">
        <v>12</v>
      </c>
    </row>
    <row r="83" spans="1:16" ht="64" customHeight="1">
      <c r="A83" s="21">
        <v>77</v>
      </c>
      <c r="B83" s="22" t="s">
        <v>230</v>
      </c>
      <c r="C83" s="37" t="s">
        <v>162</v>
      </c>
      <c r="D83" s="24">
        <v>2017</v>
      </c>
      <c r="E83" s="25" t="s">
        <v>90</v>
      </c>
      <c r="F83" s="25" t="s">
        <v>132</v>
      </c>
      <c r="G83" s="26">
        <v>86</v>
      </c>
      <c r="H83" s="26">
        <v>86</v>
      </c>
      <c r="I83" s="26">
        <v>7.7</v>
      </c>
      <c r="J83" s="26">
        <v>8</v>
      </c>
      <c r="K83" s="26">
        <v>89</v>
      </c>
      <c r="L83" s="26">
        <f>IF(COUNT(G83:K83)=0,"",(SUM(G83:H83,K83)+10*SUM(I83:J83))/COUNT(G83:K83))</f>
        <v>83.6</v>
      </c>
      <c r="M83" s="26">
        <v>7.696969696969697</v>
      </c>
      <c r="N83" s="27"/>
      <c r="O83" s="25" t="s">
        <v>231</v>
      </c>
      <c r="P83" s="28" t="s">
        <v>12</v>
      </c>
    </row>
    <row r="84" spans="1:16" ht="64" customHeight="1">
      <c r="A84" s="29">
        <v>78</v>
      </c>
      <c r="B84" s="30" t="s">
        <v>232</v>
      </c>
      <c r="C84" s="38" t="s">
        <v>162</v>
      </c>
      <c r="D84" s="32">
        <v>2020</v>
      </c>
      <c r="E84" s="33" t="s">
        <v>90</v>
      </c>
      <c r="F84" s="33" t="s">
        <v>132</v>
      </c>
      <c r="G84" s="34">
        <v>79</v>
      </c>
      <c r="H84" s="34">
        <v>84</v>
      </c>
      <c r="I84" s="34">
        <v>9</v>
      </c>
      <c r="J84" s="34">
        <v>6</v>
      </c>
      <c r="K84" s="34">
        <v>77</v>
      </c>
      <c r="L84" s="34">
        <f>IF(COUNT(G84:K84)=0,"",(SUM(G84:H84,K84)+10*SUM(I84:J84))/COUNT(G84:K84))</f>
        <v>78.0</v>
      </c>
      <c r="M84" s="34">
        <v>7.666666666666666</v>
      </c>
      <c r="N84" s="35"/>
      <c r="O84" s="33" t="s">
        <v>233</v>
      </c>
      <c r="P84" s="36" t="s">
        <v>12</v>
      </c>
    </row>
    <row r="85" spans="1:16" ht="64" customHeight="1">
      <c r="A85" s="21">
        <v>79</v>
      </c>
      <c r="B85" s="22" t="s">
        <v>234</v>
      </c>
      <c r="C85" s="37" t="s">
        <v>162</v>
      </c>
      <c r="D85" s="24">
        <v>2021</v>
      </c>
      <c r="E85" s="25" t="s">
        <v>90</v>
      </c>
      <c r="F85" s="25" t="s">
        <v>91</v>
      </c>
      <c r="G85" s="26">
        <v>84</v>
      </c>
      <c r="H85" s="26">
        <v>84</v>
      </c>
      <c r="I85" s="26">
        <v>8</v>
      </c>
      <c r="J85" s="26">
        <v>8</v>
      </c>
      <c r="K85" s="26">
        <v>80</v>
      </c>
      <c r="L85" s="26">
        <f>IF(COUNT(G85:K85)=0,"",(SUM(G85:H85,K85)+10*SUM(I85:J85))/COUNT(G85:K85))</f>
        <v>81.6</v>
      </c>
      <c r="M85" s="26">
        <v>7.636363636363637</v>
      </c>
      <c r="N85" s="27"/>
      <c r="O85" s="25" t="s">
        <v>235</v>
      </c>
      <c r="P85" s="28" t="s">
        <v>12</v>
      </c>
    </row>
    <row r="86" spans="1:16" ht="64" customHeight="1">
      <c r="A86" s="29">
        <v>80</v>
      </c>
      <c r="B86" s="30" t="s">
        <v>236</v>
      </c>
      <c r="C86" s="38" t="s">
        <v>162</v>
      </c>
      <c r="D86" s="32">
        <v>2009</v>
      </c>
      <c r="E86" s="33" t="s">
        <v>90</v>
      </c>
      <c r="F86" s="33" t="s">
        <v>237</v>
      </c>
      <c r="G86" s="34">
        <v>84</v>
      </c>
      <c r="H86" s="34">
        <v>76</v>
      </c>
      <c r="I86" s="34">
        <v>8.5</v>
      </c>
      <c r="J86" s="34">
        <v>8</v>
      </c>
      <c r="K86" s="34"/>
      <c r="L86" s="34">
        <f>IF(COUNT(G86:K86)=0,"",(SUM(G86:H86,K86)+10*SUM(I86:J86))/COUNT(G86:K86))</f>
        <v>81.25</v>
      </c>
      <c r="M86" s="34">
        <v>7.606060606060606</v>
      </c>
      <c r="N86" s="35"/>
      <c r="O86" s="33" t="s">
        <v>238</v>
      </c>
      <c r="P86" s="36" t="s">
        <v>12</v>
      </c>
    </row>
    <row r="87" spans="1:16" ht="64" customHeight="1">
      <c r="A87" s="21">
        <v>81</v>
      </c>
      <c r="B87" s="22" t="s">
        <v>239</v>
      </c>
      <c r="C87" s="37" t="s">
        <v>162</v>
      </c>
      <c r="D87" s="24">
        <v>2014</v>
      </c>
      <c r="E87" s="25" t="s">
        <v>240</v>
      </c>
      <c r="F87" s="25" t="s">
        <v>216</v>
      </c>
      <c r="G87" s="26">
        <v>84</v>
      </c>
      <c r="H87" s="26">
        <v>84</v>
      </c>
      <c r="I87" s="26">
        <v>9.300000000000001</v>
      </c>
      <c r="J87" s="26">
        <v>8</v>
      </c>
      <c r="K87" s="26">
        <v>79</v>
      </c>
      <c r="L87" s="26">
        <f>IF(COUNT(G87:K87)=0,"",(SUM(G87:H87,K87)+10*SUM(I87:J87))/COUNT(G87:K87))</f>
        <v>84.0</v>
      </c>
      <c r="M87" s="26">
        <v>7.575757575757576</v>
      </c>
      <c r="N87" s="27"/>
      <c r="O87" s="25" t="s">
        <v>241</v>
      </c>
      <c r="P87" s="28" t="s">
        <v>12</v>
      </c>
    </row>
    <row r="88" spans="1:16" ht="64" customHeight="1">
      <c r="A88" s="29">
        <v>82</v>
      </c>
      <c r="B88" s="30" t="s">
        <v>242</v>
      </c>
      <c r="C88" s="38" t="s">
        <v>162</v>
      </c>
      <c r="D88" s="32">
        <v>2017</v>
      </c>
      <c r="E88" s="33" t="s">
        <v>240</v>
      </c>
      <c r="F88" s="33" t="s">
        <v>216</v>
      </c>
      <c r="G88" s="34">
        <v>80</v>
      </c>
      <c r="H88" s="34">
        <v>80</v>
      </c>
      <c r="I88" s="34">
        <v>8</v>
      </c>
      <c r="J88" s="34">
        <v>7.5</v>
      </c>
      <c r="K88" s="34">
        <v>81</v>
      </c>
      <c r="L88" s="34">
        <f>IF(COUNT(G88:K88)=0,"",(SUM(G88:H88,K88)+10*SUM(I88:J88))/COUNT(G88:K88))</f>
        <v>79.2</v>
      </c>
      <c r="M88" s="34">
        <v>7.545454545454545</v>
      </c>
      <c r="N88" s="35"/>
      <c r="O88" s="33" t="s">
        <v>243</v>
      </c>
      <c r="P88" s="36" t="s">
        <v>12</v>
      </c>
    </row>
    <row r="89" spans="1:16" ht="64" customHeight="1">
      <c r="A89" s="21">
        <v>83</v>
      </c>
      <c r="B89" s="22" t="s">
        <v>244</v>
      </c>
      <c r="C89" s="37" t="s">
        <v>162</v>
      </c>
      <c r="D89" s="24">
        <v>2023</v>
      </c>
      <c r="E89" s="25" t="s">
        <v>245</v>
      </c>
      <c r="F89" s="25" t="s">
        <v>58</v>
      </c>
      <c r="G89" s="26">
        <v>84</v>
      </c>
      <c r="H89" s="26">
        <v>84</v>
      </c>
      <c r="I89" s="26">
        <v>9</v>
      </c>
      <c r="J89" s="26">
        <v>8</v>
      </c>
      <c r="K89" s="26">
        <v>85</v>
      </c>
      <c r="L89" s="26">
        <f>IF(COUNT(G89:K89)=0,"",(SUM(G89:H89,K89)+10*SUM(I89:J89))/COUNT(G89:K89))</f>
        <v>84.6</v>
      </c>
      <c r="M89" s="26">
        <v>7.515151515151516</v>
      </c>
      <c r="N89" s="27"/>
      <c r="O89" s="25" t="s">
        <v>246</v>
      </c>
      <c r="P89" s="28" t="s">
        <v>12</v>
      </c>
    </row>
    <row r="90" spans="1:16" ht="64" customHeight="1">
      <c r="A90" s="29">
        <v>84</v>
      </c>
      <c r="B90" s="30" t="s">
        <v>247</v>
      </c>
      <c r="C90" s="38" t="s">
        <v>162</v>
      </c>
      <c r="D90" s="32">
        <v>2023</v>
      </c>
      <c r="E90" s="33" t="s">
        <v>248</v>
      </c>
      <c r="F90" s="33" t="s">
        <v>112</v>
      </c>
      <c r="G90" s="34">
        <v>90</v>
      </c>
      <c r="H90" s="34">
        <v>90</v>
      </c>
      <c r="I90" s="34">
        <v>8</v>
      </c>
      <c r="J90" s="34">
        <v>8</v>
      </c>
      <c r="K90" s="34">
        <v>89</v>
      </c>
      <c r="L90" s="34">
        <f>IF(COUNT(G90:K90)=0,"",(SUM(G90:H90,K90)+10*SUM(I90:J90))/COUNT(G90:K90))</f>
        <v>85.8</v>
      </c>
      <c r="M90" s="34">
        <v>7.484848484848484</v>
      </c>
      <c r="N90" s="35"/>
      <c r="O90" s="33" t="s">
        <v>249</v>
      </c>
      <c r="P90" s="36" t="s">
        <v>12</v>
      </c>
    </row>
    <row r="91" spans="1:16" ht="64" customHeight="1">
      <c r="A91" s="21">
        <v>85</v>
      </c>
      <c r="B91" s="22" t="s">
        <v>250</v>
      </c>
      <c r="C91" s="37" t="s">
        <v>162</v>
      </c>
      <c r="D91" s="24">
        <v>2021</v>
      </c>
      <c r="E91" s="25" t="s">
        <v>248</v>
      </c>
      <c r="F91" s="25" t="s">
        <v>251</v>
      </c>
      <c r="G91" s="26">
        <v>88</v>
      </c>
      <c r="H91" s="26">
        <v>89</v>
      </c>
      <c r="I91" s="26">
        <v>9</v>
      </c>
      <c r="J91" s="26">
        <v>9</v>
      </c>
      <c r="K91" s="26">
        <v>85</v>
      </c>
      <c r="L91" s="26">
        <f>IF(COUNT(G91:K91)=0,"",(SUM(G91:H91,K91)+10*SUM(I91:J91))/COUNT(G91:K91))</f>
        <v>88.4</v>
      </c>
      <c r="M91" s="26">
        <v>7.454545454545455</v>
      </c>
      <c r="N91" s="27"/>
      <c r="O91" s="25" t="s">
        <v>252</v>
      </c>
      <c r="P91" s="28" t="s">
        <v>12</v>
      </c>
    </row>
    <row r="92" spans="1:16" ht="64" customHeight="1">
      <c r="A92" s="29">
        <v>86</v>
      </c>
      <c r="B92" s="30" t="s">
        <v>253</v>
      </c>
      <c r="C92" s="38" t="s">
        <v>162</v>
      </c>
      <c r="D92" s="32">
        <v>2021</v>
      </c>
      <c r="E92" s="33" t="s">
        <v>254</v>
      </c>
      <c r="F92" s="33" t="s">
        <v>255</v>
      </c>
      <c r="G92" s="34">
        <v>86</v>
      </c>
      <c r="H92" s="34">
        <v>85</v>
      </c>
      <c r="I92" s="34">
        <v>9</v>
      </c>
      <c r="J92" s="34">
        <v>8</v>
      </c>
      <c r="K92" s="34">
        <v>88</v>
      </c>
      <c r="L92" s="34">
        <f>IF(COUNT(G92:K92)=0,"",(SUM(G92:H92,K92)+10*SUM(I92:J92))/COUNT(G92:K92))</f>
        <v>85.8</v>
      </c>
      <c r="M92" s="34">
        <v>7.424242424242424</v>
      </c>
      <c r="N92" s="35"/>
      <c r="O92" s="33" t="s">
        <v>256</v>
      </c>
      <c r="P92" s="36" t="s">
        <v>12</v>
      </c>
    </row>
    <row r="93" spans="1:16" ht="64" customHeight="1">
      <c r="A93" s="21">
        <v>87</v>
      </c>
      <c r="B93" s="22" t="s">
        <v>257</v>
      </c>
      <c r="C93" s="37" t="s">
        <v>162</v>
      </c>
      <c r="D93" s="24">
        <v>2021</v>
      </c>
      <c r="E93" s="25" t="s">
        <v>115</v>
      </c>
      <c r="F93" s="25" t="s">
        <v>258</v>
      </c>
      <c r="G93" s="26">
        <v>89</v>
      </c>
      <c r="H93" s="26">
        <v>87</v>
      </c>
      <c r="I93" s="26">
        <v>10</v>
      </c>
      <c r="J93" s="26">
        <v>10</v>
      </c>
      <c r="K93" s="26">
        <v>91</v>
      </c>
      <c r="L93" s="26">
        <f>IF(COUNT(G93:K93)=0,"",(SUM(G93:H93,K93)+10*SUM(I93:J93))/COUNT(G93:K93))</f>
        <v>93.4</v>
      </c>
      <c r="M93" s="26">
        <v>7.393939393939394</v>
      </c>
      <c r="N93" s="27"/>
      <c r="O93" s="25" t="s">
        <v>259</v>
      </c>
      <c r="P93" s="28" t="s">
        <v>12</v>
      </c>
    </row>
    <row r="94" spans="1:16" ht="64" customHeight="1">
      <c r="A94" s="29">
        <v>88</v>
      </c>
      <c r="B94" s="30" t="s">
        <v>260</v>
      </c>
      <c r="C94" s="38" t="s">
        <v>162</v>
      </c>
      <c r="D94" s="32">
        <v>2019</v>
      </c>
      <c r="E94" s="33" t="s">
        <v>261</v>
      </c>
      <c r="F94" s="33" t="s">
        <v>216</v>
      </c>
      <c r="G94" s="34">
        <v>71</v>
      </c>
      <c r="H94" s="34">
        <v>76</v>
      </c>
      <c r="I94" s="34">
        <v>6.5</v>
      </c>
      <c r="J94" s="34">
        <v>5</v>
      </c>
      <c r="K94" s="34">
        <v>74</v>
      </c>
      <c r="L94" s="34">
        <f>IF(COUNT(G94:K94)=0,"",(SUM(G94:H94,K94)+10*SUM(I94:J94))/COUNT(G94:K94))</f>
        <v>67.2</v>
      </c>
      <c r="M94" s="34">
        <v>7.363636363636363</v>
      </c>
      <c r="N94" s="35"/>
      <c r="O94" s="33" t="s">
        <v>262</v>
      </c>
      <c r="P94" s="36" t="s">
        <v>12</v>
      </c>
    </row>
    <row r="95" spans="1:16" ht="64" customHeight="1">
      <c r="A95" s="21">
        <v>89</v>
      </c>
      <c r="B95" s="22" t="s">
        <v>263</v>
      </c>
      <c r="C95" s="37" t="s">
        <v>162</v>
      </c>
      <c r="D95" s="24">
        <v>2016</v>
      </c>
      <c r="E95" s="25" t="s">
        <v>264</v>
      </c>
      <c r="F95" s="25" t="s">
        <v>265</v>
      </c>
      <c r="G95" s="26">
        <v>80</v>
      </c>
      <c r="H95" s="26">
        <v>80</v>
      </c>
      <c r="I95" s="26">
        <v>6.7</v>
      </c>
      <c r="J95" s="26">
        <v>6</v>
      </c>
      <c r="K95" s="26">
        <v>74</v>
      </c>
      <c r="L95" s="26">
        <f>IF(COUNT(G95:K95)=0,"",(SUM(G95:H95,K95)+10*SUM(I95:J95))/COUNT(G95:K95))</f>
        <v>72.2</v>
      </c>
      <c r="M95" s="26">
        <v>7.333333333333333</v>
      </c>
      <c r="N95" s="27"/>
      <c r="O95" s="25" t="s">
        <v>266</v>
      </c>
      <c r="P95" s="28" t="s">
        <v>12</v>
      </c>
    </row>
    <row r="96" spans="1:16" ht="64" customHeight="1">
      <c r="A96" s="29">
        <v>90</v>
      </c>
      <c r="B96" s="30" t="s">
        <v>267</v>
      </c>
      <c r="C96" s="38" t="s">
        <v>162</v>
      </c>
      <c r="D96" s="32">
        <v>2019</v>
      </c>
      <c r="E96" s="33" t="s">
        <v>264</v>
      </c>
      <c r="F96" s="33" t="s">
        <v>265</v>
      </c>
      <c r="G96" s="34">
        <v>84</v>
      </c>
      <c r="H96" s="34">
        <v>84</v>
      </c>
      <c r="I96" s="34">
        <v>8.5</v>
      </c>
      <c r="J96" s="34">
        <v>8</v>
      </c>
      <c r="K96" s="34">
        <v>84</v>
      </c>
      <c r="L96" s="34">
        <f>IF(COUNT(G96:K96)=0,"",(SUM(G96:H96,K96)+10*SUM(I96:J96))/COUNT(G96:K96))</f>
        <v>83.4</v>
      </c>
      <c r="M96" s="34">
        <v>7.303030303030303</v>
      </c>
      <c r="N96" s="35"/>
      <c r="O96" s="33" t="s">
        <v>268</v>
      </c>
      <c r="P96" s="36" t="s">
        <v>12</v>
      </c>
    </row>
    <row r="97" spans="1:16" ht="64" customHeight="1">
      <c r="A97" s="21">
        <v>91</v>
      </c>
      <c r="B97" s="22" t="s">
        <v>269</v>
      </c>
      <c r="C97" s="37" t="s">
        <v>162</v>
      </c>
      <c r="D97" s="24">
        <v>2017</v>
      </c>
      <c r="E97" s="25" t="s">
        <v>111</v>
      </c>
      <c r="F97" s="25" t="s">
        <v>58</v>
      </c>
      <c r="G97" s="26">
        <v>81</v>
      </c>
      <c r="H97" s="26">
        <v>81</v>
      </c>
      <c r="I97" s="26">
        <v>8.5</v>
      </c>
      <c r="J97" s="26">
        <v>8</v>
      </c>
      <c r="K97" s="26">
        <v>80</v>
      </c>
      <c r="L97" s="26">
        <f>IF(COUNT(G97:K97)=0,"",(SUM(G97:H97,K97)+10*SUM(I97:J97))/COUNT(G97:K97))</f>
        <v>81.4</v>
      </c>
      <c r="M97" s="26">
        <v>7.272727272727272</v>
      </c>
      <c r="N97" s="27"/>
      <c r="O97" s="25" t="s">
        <v>270</v>
      </c>
      <c r="P97" s="28" t="s">
        <v>12</v>
      </c>
    </row>
    <row r="98" spans="1:16" ht="64" customHeight="1">
      <c r="A98" s="29">
        <v>92</v>
      </c>
      <c r="B98" s="30" t="s">
        <v>271</v>
      </c>
      <c r="C98" s="38" t="s">
        <v>162</v>
      </c>
      <c r="D98" s="32">
        <v>2018</v>
      </c>
      <c r="E98" s="33" t="s">
        <v>272</v>
      </c>
      <c r="F98" s="33" t="s">
        <v>58</v>
      </c>
      <c r="G98" s="34">
        <v>85</v>
      </c>
      <c r="H98" s="34">
        <v>87</v>
      </c>
      <c r="I98" s="34">
        <v>8.5</v>
      </c>
      <c r="J98" s="34">
        <v>7.5</v>
      </c>
      <c r="K98" s="34">
        <v>83</v>
      </c>
      <c r="L98" s="34">
        <f>IF(COUNT(G98:K98)=0,"",(SUM(G98:H98,K98)+10*SUM(I98:J98))/COUNT(G98:K98))</f>
        <v>83.0</v>
      </c>
      <c r="M98" s="34">
        <v>7.242424242424242</v>
      </c>
      <c r="N98" s="35"/>
      <c r="O98" s="33" t="s">
        <v>273</v>
      </c>
      <c r="P98" s="36" t="s">
        <v>12</v>
      </c>
    </row>
    <row r="99" spans="1:16" ht="64" customHeight="1">
      <c r="A99" s="21">
        <v>93</v>
      </c>
      <c r="B99" s="22" t="s">
        <v>274</v>
      </c>
      <c r="C99" s="37" t="s">
        <v>162</v>
      </c>
      <c r="D99" s="24">
        <v>2020</v>
      </c>
      <c r="E99" s="25" t="s">
        <v>111</v>
      </c>
      <c r="F99" s="25" t="s">
        <v>58</v>
      </c>
      <c r="G99" s="26">
        <v>80</v>
      </c>
      <c r="H99" s="26">
        <v>80</v>
      </c>
      <c r="I99" s="26">
        <v>8</v>
      </c>
      <c r="J99" s="26">
        <v>8</v>
      </c>
      <c r="K99" s="26">
        <v>82</v>
      </c>
      <c r="L99" s="26">
        <f>IF(COUNT(G99:K99)=0,"",(SUM(G99:H99,K99)+10*SUM(I99:J99))/COUNT(G99:K99))</f>
        <v>80.4</v>
      </c>
      <c r="M99" s="26">
        <v>7.212121212121212</v>
      </c>
      <c r="N99" s="27"/>
      <c r="O99" s="25" t="s">
        <v>275</v>
      </c>
      <c r="P99" s="28" t="s">
        <v>12</v>
      </c>
    </row>
    <row r="100" spans="1:16" ht="64" customHeight="1">
      <c r="A100" s="29">
        <v>94</v>
      </c>
      <c r="B100" s="30" t="s">
        <v>276</v>
      </c>
      <c r="C100" s="38" t="s">
        <v>162</v>
      </c>
      <c r="D100" s="32">
        <v>2016</v>
      </c>
      <c r="E100" s="33" t="s">
        <v>111</v>
      </c>
      <c r="F100" s="33" t="s">
        <v>216</v>
      </c>
      <c r="G100" s="34">
        <v>82</v>
      </c>
      <c r="H100" s="34">
        <v>81</v>
      </c>
      <c r="I100" s="34">
        <v>8.5</v>
      </c>
      <c r="J100" s="34">
        <v>8</v>
      </c>
      <c r="K100" s="34">
        <v>80</v>
      </c>
      <c r="L100" s="34">
        <f>IF(COUNT(G100:K100)=0,"",(SUM(G100:H100,K100)+10*SUM(I100:J100))/COUNT(G100:K100))</f>
        <v>81.6</v>
      </c>
      <c r="M100" s="34">
        <v>7.181818181818182</v>
      </c>
      <c r="N100" s="35"/>
      <c r="O100" s="33" t="s">
        <v>277</v>
      </c>
      <c r="P100" s="36" t="s">
        <v>12</v>
      </c>
    </row>
    <row r="101" spans="1:16" ht="64" customHeight="1">
      <c r="A101" s="21">
        <v>95</v>
      </c>
      <c r="B101" s="22" t="s">
        <v>278</v>
      </c>
      <c r="C101" s="37" t="s">
        <v>162</v>
      </c>
      <c r="D101" s="24">
        <v>2012</v>
      </c>
      <c r="E101" s="25" t="s">
        <v>279</v>
      </c>
      <c r="F101" s="25" t="s">
        <v>216</v>
      </c>
      <c r="G101" s="26">
        <v>80</v>
      </c>
      <c r="H101" s="26">
        <v>79</v>
      </c>
      <c r="I101" s="26">
        <v>9</v>
      </c>
      <c r="J101" s="26">
        <v>8</v>
      </c>
      <c r="K101" s="26">
        <v>79</v>
      </c>
      <c r="L101" s="26">
        <f>IF(COUNT(G101:K101)=0,"",(SUM(G101:H101,K101)+10*SUM(I101:J101))/COUNT(G101:K101))</f>
        <v>81.6</v>
      </c>
      <c r="M101" s="26">
        <v>7.151515151515151</v>
      </c>
      <c r="N101" s="27"/>
      <c r="O101" s="25" t="s">
        <v>280</v>
      </c>
      <c r="P101" s="28" t="s">
        <v>12</v>
      </c>
    </row>
    <row r="102" spans="1:16" ht="64" customHeight="1">
      <c r="A102" s="29">
        <v>96</v>
      </c>
      <c r="B102" s="30" t="s">
        <v>281</v>
      </c>
      <c r="C102" s="38" t="s">
        <v>162</v>
      </c>
      <c r="D102" s="32">
        <v>2015</v>
      </c>
      <c r="E102" s="33" t="s">
        <v>282</v>
      </c>
      <c r="F102" s="33" t="s">
        <v>216</v>
      </c>
      <c r="G102" s="34">
        <v>74</v>
      </c>
      <c r="H102" s="34">
        <v>73</v>
      </c>
      <c r="I102" s="34">
        <v>8</v>
      </c>
      <c r="J102" s="34">
        <v>7</v>
      </c>
      <c r="K102" s="34">
        <v>76</v>
      </c>
      <c r="L102" s="34">
        <f>IF(COUNT(G102:K102)=0,"",(SUM(G102:H102,K102)+10*SUM(I102:J102))/COUNT(G102:K102))</f>
        <v>74.6</v>
      </c>
      <c r="M102" s="34">
        <v>7.121212121212121</v>
      </c>
      <c r="N102" s="35"/>
      <c r="O102" s="33" t="s">
        <v>283</v>
      </c>
      <c r="P102" s="36" t="s">
        <v>12</v>
      </c>
    </row>
    <row r="103" spans="1:16" ht="64" customHeight="1">
      <c r="A103" s="21">
        <v>97</v>
      </c>
      <c r="B103" s="22" t="s">
        <v>284</v>
      </c>
      <c r="C103" s="37" t="s">
        <v>162</v>
      </c>
      <c r="D103" s="24">
        <v>2012</v>
      </c>
      <c r="E103" s="25" t="s">
        <v>285</v>
      </c>
      <c r="F103" s="25" t="s">
        <v>286</v>
      </c>
      <c r="G103" s="26">
        <v>87</v>
      </c>
      <c r="H103" s="26">
        <v>86</v>
      </c>
      <c r="I103" s="26">
        <v>9</v>
      </c>
      <c r="J103" s="26">
        <v>9</v>
      </c>
      <c r="K103" s="26">
        <v>89</v>
      </c>
      <c r="L103" s="26">
        <f>IF(COUNT(G103:K103)=0,"",(SUM(G103:H103,K103)+10*SUM(I103:J103))/COUNT(G103:K103))</f>
        <v>88.4</v>
      </c>
      <c r="M103" s="26">
        <v>7.090909090909091</v>
      </c>
      <c r="N103" s="27"/>
      <c r="O103" s="25" t="s">
        <v>287</v>
      </c>
      <c r="P103" s="28" t="s">
        <v>12</v>
      </c>
    </row>
    <row r="104" spans="1:16" ht="64" customHeight="1">
      <c r="A104" s="29">
        <v>98</v>
      </c>
      <c r="B104" s="30" t="s">
        <v>288</v>
      </c>
      <c r="C104" s="38" t="s">
        <v>162</v>
      </c>
      <c r="D104" s="32">
        <v>2013</v>
      </c>
      <c r="E104" s="33" t="s">
        <v>289</v>
      </c>
      <c r="F104" s="33" t="s">
        <v>24</v>
      </c>
      <c r="G104" s="34">
        <v>86</v>
      </c>
      <c r="H104" s="34">
        <v>85</v>
      </c>
      <c r="I104" s="34">
        <v>9.1</v>
      </c>
      <c r="J104" s="34">
        <v>8.5</v>
      </c>
      <c r="K104" s="34">
        <v>85</v>
      </c>
      <c r="L104" s="34">
        <f>IF(COUNT(G104:K104)=0,"",(SUM(G104:H104,K104)+10*SUM(I104:J104))/COUNT(G104:K104))</f>
        <v>86.4</v>
      </c>
      <c r="M104" s="34">
        <v>7.060606060606061</v>
      </c>
      <c r="N104" s="35"/>
      <c r="O104" s="33" t="s">
        <v>290</v>
      </c>
      <c r="P104" s="36" t="s">
        <v>12</v>
      </c>
    </row>
    <row r="105" spans="1:16" ht="64" customHeight="1">
      <c r="A105" s="21">
        <v>99</v>
      </c>
      <c r="B105" s="22" t="s">
        <v>291</v>
      </c>
      <c r="C105" s="37" t="s">
        <v>162</v>
      </c>
      <c r="D105" s="24">
        <v>2015</v>
      </c>
      <c r="E105" s="25" t="s">
        <v>289</v>
      </c>
      <c r="F105" s="25" t="s">
        <v>24</v>
      </c>
      <c r="G105" s="26">
        <v>88</v>
      </c>
      <c r="H105" s="26">
        <v>86</v>
      </c>
      <c r="I105" s="26">
        <v>9</v>
      </c>
      <c r="J105" s="26">
        <v>8.5</v>
      </c>
      <c r="K105" s="26">
        <v>86</v>
      </c>
      <c r="L105" s="26">
        <f>IF(COUNT(G105:K105)=0,"",(SUM(G105:H105,K105)+10*SUM(I105:J105))/COUNT(G105:K105))</f>
        <v>87.0</v>
      </c>
      <c r="M105" s="26">
        <v>7.03030303030303</v>
      </c>
      <c r="N105" s="27"/>
      <c r="O105" s="25" t="s">
        <v>292</v>
      </c>
      <c r="P105" s="28" t="s">
        <v>12</v>
      </c>
    </row>
    <row r="106" spans="1:16" ht="64" customHeight="1">
      <c r="A106" s="29">
        <v>100</v>
      </c>
      <c r="B106" s="30" t="s">
        <v>293</v>
      </c>
      <c r="C106" s="38" t="s">
        <v>162</v>
      </c>
      <c r="D106" s="32">
        <v>2011</v>
      </c>
      <c r="E106" s="33" t="s">
        <v>294</v>
      </c>
      <c r="F106" s="33" t="s">
        <v>295</v>
      </c>
      <c r="G106" s="34">
        <v>83</v>
      </c>
      <c r="H106" s="34">
        <v>83</v>
      </c>
      <c r="I106" s="34">
        <v>8.5</v>
      </c>
      <c r="J106" s="34">
        <v>7.5</v>
      </c>
      <c r="K106" s="34">
        <v>82</v>
      </c>
      <c r="L106" s="34">
        <f>IF(COUNT(G106:K106)=0,"",(SUM(G106:H106,K106)+10*SUM(I106:J106))/COUNT(G106:K106))</f>
        <v>81.6</v>
      </c>
      <c r="M106" s="34">
        <v>7</v>
      </c>
      <c r="N106" s="35"/>
      <c r="O106" s="33" t="s">
        <v>296</v>
      </c>
      <c r="P106" s="36" t="s">
        <v>12</v>
      </c>
    </row>
    <row r="107" spans="1:16" ht="21" customHeight="1">
      <c r="A107" s="1"/>
      <c r="B107" s="1"/>
      <c r="C107" s="1"/>
      <c r="D107" s="1"/>
      <c r="E107" s="1"/>
      <c r="F107" s="1"/>
      <c r="G107" s="1"/>
      <c r="H107" s="1"/>
      <c r="I107" s="1"/>
      <c r="J107" s="1"/>
      <c r="K107" s="1"/>
      <c r="L107" s="1"/>
      <c r="M107" s="1"/>
      <c r="N107" s="1"/>
      <c r="O107" s="1"/>
      <c r="P107" s="1"/>
    </row>
    <row r="110" spans="1:16" ht="25" customHeight="1">
      <c r="A110" s="9" t="s">
        <v>530</v>
      </c>
      <c r="B110" s="9"/>
      <c r="C110" s="9"/>
      <c r="D110" s="9"/>
      <c r="E110" s="9"/>
      <c r="F110" s="9"/>
      <c r="G110" s="9"/>
      <c r="H110" s="9"/>
      <c r="I110" s="9"/>
      <c r="J110" s="9"/>
      <c r="K110" s="9"/>
      <c r="L110" s="9"/>
      <c r="M110" s="9"/>
      <c r="N110" s="9"/>
      <c r="O110" s="9"/>
      <c r="P110" s="9"/>
    </row>
    <row r="111" spans="1:16" ht="32" customHeight="1">
      <c r="A111" s="17" t="s">
        <v>531</v>
      </c>
      <c r="B111" s="17"/>
      <c r="C111" s="17"/>
      <c r="D111" s="17"/>
      <c r="E111" s="17"/>
      <c r="F111" s="17" t="s">
        <v>532</v>
      </c>
      <c r="G111" s="17"/>
      <c r="H111" s="17"/>
      <c r="I111" s="17"/>
      <c r="J111" s="17"/>
      <c r="K111" s="17" t="s">
        <v>533</v>
      </c>
      <c r="L111" s="17"/>
      <c r="M111" s="17"/>
      <c r="N111" s="17"/>
      <c r="O111" s="17"/>
      <c r="P111" s="17"/>
    </row>
  </sheetData>
  <mergeCells count="7">
    <mergeCell ref="A1:P1"/>
    <mergeCell ref="A2:P2"/>
    <mergeCell ref="A5:P5"/>
    <mergeCell ref="A110:P110"/>
    <mergeCell ref="A111:E111"/>
    <mergeCell ref="F111:J111"/>
    <mergeCell ref="K111:P111"/>
  </mergeCells>
  <conditionalFormatting sqref="A7:P106">
    <cfRule type="expression" dxfId="1" priority="3">
      <formula>$A7=50</formula>
    </cfRule>
  </conditionalFormatting>
  <conditionalFormatting sqref="L7:L106">
    <cfRule type="dataBar" priority="1">
      <dataBar>
        <cfvo type="num" val="0"/>
        <cfvo type="num" val="100"/>
        <color rgb="FFD3EA82"/>
      </dataBar>
    </cfRule>
  </conditionalFormatting>
  <conditionalFormatting sqref="N7:N106">
    <cfRule type="notContainsBlanks" dxfId="0" priority="2">
      <formula>LEN(TRIM(N7))&gt;0</formula>
    </cfRule>
  </conditionalFormatting>
  <dataValidations count="3">
    <dataValidation type="decimal" allowBlank="1" showInputMessage="1" showErrorMessage="1" errorTitle="Keep the native scale" error="Enter a number from 0 to 100, or leave blank if unavailable." promptTitle="Source critic score /100" prompt="Blank means missing. Do not substitute zero for missing scores." sqref="G7:H106">
      <formula1>0</formula1>
      <formula2>100</formula2>
    </dataValidation>
    <dataValidation type="decimal" allowBlank="1" showInputMessage="1" showErrorMessage="1" errorTitle="Keep the native scale" error="Enter a number from 0 to 10, or leave blank if unavailable." promptTitle="Source critic score /10" prompt="Blank means missing. Do not substitute zero for missing scores." sqref="I7:J106">
      <formula1>0</formula1>
      <formula2>10</formula2>
    </dataValidation>
    <dataValidation type="decimal" allowBlank="1" showInputMessage="1" showErrorMessage="1" errorTitle="Keep the native scale" error="Enter a number from 0 to 100, or leave blank if unavailable." promptTitle="Source critic score /100" prompt="Blank means missing. Do not substitute zero for missing scores." sqref="K7:K106">
      <formula1>0</formula1>
      <formula2>100</formula2>
    </dataValidation>
  </dataValidations>
  <hyperlinks>
    <hyperlink ref="A4" location="'Start Here'!A1" display="← Start Here"/>
    <hyperlink ref="C4" location="'Chronology'!A1" display="Chronology →"/>
    <hyperlink ref="F4" location="'Cover Gallery'!A1" display="Covers →"/>
    <hyperlink ref="I4" location="'Methodology'!A1" display="Methodology →"/>
    <hyperlink ref="P7" location="'Cover Gallery'!A7" display="View cover"/>
    <hyperlink ref="P8" location="'Cover Gallery'!F7" display="View cover"/>
    <hyperlink ref="P9" location="'Cover Gallery'!K7" display="View cover"/>
    <hyperlink ref="P10" location="'Cover Gallery'!P7" display="View cover"/>
    <hyperlink ref="P11" location="'Cover Gallery'!A19" display="View cover"/>
    <hyperlink ref="P12" location="'Cover Gallery'!F19" display="View cover"/>
    <hyperlink ref="P13" location="'Cover Gallery'!K19" display="View cover"/>
    <hyperlink ref="P14" location="'Cover Gallery'!P19" display="View cover"/>
    <hyperlink ref="P15" location="'Cover Gallery'!A31" display="View cover"/>
    <hyperlink ref="P16" location="'Cover Gallery'!F31" display="View cover"/>
    <hyperlink ref="P17" location="'Cover Gallery'!K31" display="View cover"/>
    <hyperlink ref="P18" location="'Cover Gallery'!P31" display="View cover"/>
    <hyperlink ref="P19" location="'Cover Gallery'!A43" display="View cover"/>
    <hyperlink ref="P20" location="'Cover Gallery'!F43" display="View cover"/>
    <hyperlink ref="P21" location="'Cover Gallery'!K43" display="View cover"/>
    <hyperlink ref="P22" location="'Cover Gallery'!P43" display="View cover"/>
    <hyperlink ref="P23" location="'Cover Gallery'!A55" display="View cover"/>
    <hyperlink ref="P24" location="'Cover Gallery'!F55" display="View cover"/>
    <hyperlink ref="P25" location="'Cover Gallery'!K55" display="View cover"/>
    <hyperlink ref="P26" location="'Cover Gallery'!P55" display="View cover"/>
    <hyperlink ref="P27" location="'Cover Gallery'!A67" display="View cover"/>
    <hyperlink ref="P28" location="'Cover Gallery'!F67" display="View cover"/>
    <hyperlink ref="P29" location="'Cover Gallery'!K67" display="View cover"/>
    <hyperlink ref="P30" location="'Cover Gallery'!P67" display="View cover"/>
    <hyperlink ref="P31" location="'Cover Gallery'!A79" display="View cover"/>
    <hyperlink ref="P32" location="'Cover Gallery'!F79" display="View cover"/>
    <hyperlink ref="P33" location="'Cover Gallery'!K79" display="View cover"/>
    <hyperlink ref="P34" location="'Cover Gallery'!P79" display="View cover"/>
    <hyperlink ref="P35" location="'Cover Gallery'!A91" display="View cover"/>
    <hyperlink ref="P36" location="'Cover Gallery'!F91" display="View cover"/>
    <hyperlink ref="P37" location="'Cover Gallery'!K91" display="View cover"/>
    <hyperlink ref="P38" location="'Cover Gallery'!P91" display="View cover"/>
    <hyperlink ref="P39" location="'Cover Gallery'!A103" display="View cover"/>
    <hyperlink ref="P40" location="'Cover Gallery'!F103" display="View cover"/>
    <hyperlink ref="P41" location="'Cover Gallery'!K103" display="View cover"/>
    <hyperlink ref="P42" location="'Cover Gallery'!P103" display="View cover"/>
    <hyperlink ref="P43" location="'Cover Gallery'!A115" display="View cover"/>
    <hyperlink ref="P44" location="'Cover Gallery'!F115" display="View cover"/>
    <hyperlink ref="P45" location="'Cover Gallery'!K115" display="View cover"/>
    <hyperlink ref="P46" location="'Cover Gallery'!P115" display="View cover"/>
    <hyperlink ref="P47" location="'Cover Gallery'!A127" display="View cover"/>
    <hyperlink ref="P48" location="'Cover Gallery'!F127" display="View cover"/>
    <hyperlink ref="P49" location="'Cover Gallery'!K127" display="View cover"/>
    <hyperlink ref="P50" location="'Cover Gallery'!P127" display="View cover"/>
    <hyperlink ref="P51" location="'Cover Gallery'!A139" display="View cover"/>
    <hyperlink ref="P52" location="'Cover Gallery'!F139" display="View cover"/>
    <hyperlink ref="P53" location="'Cover Gallery'!K139" display="View cover"/>
    <hyperlink ref="P54" location="'Cover Gallery'!P139" display="View cover"/>
    <hyperlink ref="P55" location="'Cover Gallery'!A151" display="View cover"/>
    <hyperlink ref="P56" location="'Cover Gallery'!F151" display="View cover"/>
    <hyperlink ref="P57" location="'Cover Gallery'!K151" display="View cover"/>
    <hyperlink ref="P58" location="'Cover Gallery'!P151" display="View cover"/>
    <hyperlink ref="P59" location="'Cover Gallery'!A163" display="View cover"/>
    <hyperlink ref="P60" location="'Cover Gallery'!F163" display="View cover"/>
    <hyperlink ref="P61" location="'Cover Gallery'!K163" display="View cover"/>
    <hyperlink ref="P62" location="'Cover Gallery'!P163" display="View cover"/>
    <hyperlink ref="P63" location="'Cover Gallery'!A175" display="View cover"/>
    <hyperlink ref="P64" location="'Cover Gallery'!F175" display="View cover"/>
    <hyperlink ref="P65" location="'Cover Gallery'!K175" display="View cover"/>
    <hyperlink ref="P66" location="'Cover Gallery'!P175" display="View cover"/>
    <hyperlink ref="P67" location="'Cover Gallery'!A187" display="View cover"/>
    <hyperlink ref="P68" location="'Cover Gallery'!F187" display="View cover"/>
    <hyperlink ref="P69" location="'Cover Gallery'!K187" display="View cover"/>
    <hyperlink ref="P70" location="'Cover Gallery'!P187" display="View cover"/>
    <hyperlink ref="P71" location="'Cover Gallery'!A199" display="View cover"/>
    <hyperlink ref="P72" location="'Cover Gallery'!F199" display="View cover"/>
    <hyperlink ref="P73" location="'Cover Gallery'!K199" display="View cover"/>
    <hyperlink ref="P74" location="'Cover Gallery'!P199" display="View cover"/>
    <hyperlink ref="P75" location="'Cover Gallery'!A211" display="View cover"/>
    <hyperlink ref="P76" location="'Cover Gallery'!F211" display="View cover"/>
    <hyperlink ref="P77" location="'Cover Gallery'!K211" display="View cover"/>
    <hyperlink ref="P78" location="'Cover Gallery'!P211" display="View cover"/>
    <hyperlink ref="P79" location="'Cover Gallery'!A223" display="View cover"/>
    <hyperlink ref="P80" location="'Cover Gallery'!F223" display="View cover"/>
    <hyperlink ref="P81" location="'Cover Gallery'!K223" display="View cover"/>
    <hyperlink ref="P82" location="'Cover Gallery'!P223" display="View cover"/>
    <hyperlink ref="P83" location="'Cover Gallery'!A235" display="View cover"/>
    <hyperlink ref="P84" location="'Cover Gallery'!F235" display="View cover"/>
    <hyperlink ref="P85" location="'Cover Gallery'!K235" display="View cover"/>
    <hyperlink ref="P86" location="'Cover Gallery'!P235" display="View cover"/>
    <hyperlink ref="P87" location="'Cover Gallery'!A247" display="View cover"/>
    <hyperlink ref="P88" location="'Cover Gallery'!F247" display="View cover"/>
    <hyperlink ref="P89" location="'Cover Gallery'!K247" display="View cover"/>
    <hyperlink ref="P90" location="'Cover Gallery'!P247" display="View cover"/>
    <hyperlink ref="P91" location="'Cover Gallery'!A259" display="View cover"/>
    <hyperlink ref="P92" location="'Cover Gallery'!F259" display="View cover"/>
    <hyperlink ref="P93" location="'Cover Gallery'!K259" display="View cover"/>
    <hyperlink ref="P94" location="'Cover Gallery'!P259" display="View cover"/>
    <hyperlink ref="P95" location="'Cover Gallery'!A271" display="View cover"/>
    <hyperlink ref="P96" location="'Cover Gallery'!F271" display="View cover"/>
    <hyperlink ref="P97" location="'Cover Gallery'!K271" display="View cover"/>
    <hyperlink ref="P98" location="'Cover Gallery'!P271" display="View cover"/>
    <hyperlink ref="P99" location="'Cover Gallery'!A283" display="View cover"/>
    <hyperlink ref="P100" location="'Cover Gallery'!F283" display="View cover"/>
    <hyperlink ref="P101" location="'Cover Gallery'!K283" display="View cover"/>
    <hyperlink ref="P102" location="'Cover Gallery'!P283" display="View cover"/>
    <hyperlink ref="P103" location="'Cover Gallery'!A295" display="View cover"/>
    <hyperlink ref="P104" location="'Cover Gallery'!F295" display="View cover"/>
    <hyperlink ref="P105" location="'Cover Gallery'!K295" display="View cover"/>
    <hyperlink ref="P106" location="'Cover Gallery'!P295" display="View cover"/>
    <hyperlink ref="A111" r:id="rId1"/>
    <hyperlink ref="F111" r:id="rId2"/>
    <hyperlink ref="K111" r:id="rId3"/>
  </hyperlinks>
  <pageMargins left="0.3" right="0.3" top="0.4" bottom="0.4" header="0.15" footer="0.15"/>
  <pageSetup paperSize="8" fitToHeight="0" orientation="landscape"/>
  <headerFooter>
    <oddHeader>&amp;LPlay 100&amp;RUser-curated collection</oddHeader>
    <oddFooter>&amp;L&amp;8Curated by Leul Tewodros Agonafer
https://github.com/LeulTew/play-100&amp;C&amp;8https://www.linkedin.com/in/leul-t-agonafer-861bb3336/
https://t.me/fabbin&amp;R&amp;8&amp;P / &amp;N</oddFooter>
  </headerFooter>
  <rowBreaks count="1" manualBreakCount="1">
    <brk id="56" max="16383" man="1"/>
  </rowBreaks>
  <legacyDrawing r:id="rId4"/>
  <tableParts count="1">
    <tablePart r:id="rId5"/>
  </tableParts>
</worksheet>
</file>

<file path=xl/worksheets/sheet3.xml><?xml version="1.0" encoding="utf-8"?>
<worksheet xmlns="http://schemas.openxmlformats.org/spreadsheetml/2006/main" xmlns:r="http://schemas.openxmlformats.org/officeDocument/2006/relationships">
  <sheetPr>
    <tabColor rgb="FF18211C"/>
    <pageSetUpPr fitToPage="1"/>
  </sheetPr>
  <dimension ref="A1:J111"/>
  <sheetViews>
    <sheetView showGridLines="0" zoomScale="90" zoomScaleNormal="90" workbookViewId="0">
      <pane xSplit="3" ySplit="6" topLeftCell="D7" activePane="bottomRight" state="frozen"/>
      <selection pane="topRight" activeCell="D1" sqref="D1"/>
      <selection pane="bottomLeft" activeCell="A7" sqref="A7"/>
      <selection pane="bottomRight"/>
    </sheetView>
  </sheetViews>
  <sheetFormatPr defaultRowHeight="21" customHeight="1"/>
  <cols>
    <col min="1" max="1" width="9.7109375" style="1" customWidth="1"/>
    <col min="2" max="2" width="8.7109375" style="1" customWidth="1"/>
    <col min="3" max="3" width="43.7109375" style="1" customWidth="1"/>
    <col min="4" max="4" width="14.7109375" style="1" customWidth="1"/>
    <col min="5" max="5" width="34.7109375" style="1" customWidth="1"/>
    <col min="6" max="6" width="32.7109375" style="1" customWidth="1"/>
    <col min="7" max="7" width="19.7109375" style="1" customWidth="1"/>
    <col min="8" max="8" width="17.7109375" style="1" customWidth="1"/>
    <col min="9" max="9" width="26.7109375" style="1" customWidth="1"/>
    <col min="10" max="10" width="14.7109375" style="1" customWidth="1"/>
  </cols>
  <sheetData>
    <row r="1" spans="1:10" ht="44" customHeight="1">
      <c r="A1" s="18" t="s">
        <v>313</v>
      </c>
      <c r="B1" s="18"/>
      <c r="C1" s="18"/>
      <c r="D1" s="18"/>
      <c r="E1" s="18"/>
      <c r="F1" s="18"/>
      <c r="G1" s="18"/>
      <c r="H1" s="18"/>
      <c r="I1" s="18"/>
      <c r="J1" s="18"/>
    </row>
    <row r="2" spans="1:10" ht="31" customHeight="1">
      <c r="A2" s="14" t="s">
        <v>314</v>
      </c>
      <c r="B2" s="14"/>
      <c r="C2" s="14"/>
      <c r="D2" s="14"/>
      <c r="E2" s="14"/>
      <c r="F2" s="14"/>
      <c r="G2" s="14"/>
      <c r="H2" s="14"/>
      <c r="I2" s="14"/>
      <c r="J2" s="14"/>
    </row>
    <row r="3" spans="1:10" ht="21" customHeight="1">
      <c r="A3" s="1"/>
      <c r="B3" s="1"/>
      <c r="C3" s="1"/>
      <c r="D3" s="1"/>
      <c r="E3" s="1"/>
      <c r="F3" s="1"/>
      <c r="G3" s="1"/>
      <c r="H3" s="1"/>
      <c r="I3" s="1"/>
      <c r="J3" s="1"/>
    </row>
    <row r="4" spans="1:10" ht="21" customHeight="1">
      <c r="A4" s="19" t="s">
        <v>2</v>
      </c>
      <c r="B4" s="1"/>
      <c r="C4" s="19" t="s">
        <v>315</v>
      </c>
      <c r="D4" s="1"/>
      <c r="E4" s="1"/>
      <c r="F4" s="19" t="s">
        <v>316</v>
      </c>
      <c r="G4" s="1"/>
      <c r="H4" s="1"/>
      <c r="I4" s="1"/>
      <c r="J4" s="1"/>
    </row>
    <row r="5" spans="1:10" ht="21" customHeight="1">
      <c r="A5" s="15" t="s">
        <v>317</v>
      </c>
      <c r="B5" s="15"/>
      <c r="C5" s="15"/>
      <c r="D5" s="15"/>
      <c r="E5" s="15"/>
      <c r="F5" s="15"/>
      <c r="G5" s="15"/>
      <c r="H5" s="15"/>
      <c r="I5" s="15"/>
      <c r="J5" s="15"/>
    </row>
    <row r="6" spans="1:10" ht="40" customHeight="1">
      <c r="A6" s="20" t="s">
        <v>300</v>
      </c>
      <c r="B6" s="20" t="s">
        <v>297</v>
      </c>
      <c r="C6" s="20" t="s">
        <v>298</v>
      </c>
      <c r="D6" s="20" t="s">
        <v>299</v>
      </c>
      <c r="E6" s="20" t="s">
        <v>301</v>
      </c>
      <c r="F6" s="20" t="s">
        <v>302</v>
      </c>
      <c r="G6" s="20" t="s">
        <v>308</v>
      </c>
      <c r="H6" s="20" t="s">
        <v>309</v>
      </c>
      <c r="I6" s="20" t="s">
        <v>310</v>
      </c>
      <c r="J6" s="20" t="s">
        <v>318</v>
      </c>
    </row>
    <row r="7" spans="1:10" ht="45" customHeight="1">
      <c r="A7" s="24">
        <v>2000</v>
      </c>
      <c r="B7" s="21">
        <v>22</v>
      </c>
      <c r="C7" s="22" t="s">
        <v>73</v>
      </c>
      <c r="D7" s="23" t="s">
        <v>8</v>
      </c>
      <c r="E7" s="25" t="s">
        <v>74</v>
      </c>
      <c r="F7" s="25" t="s">
        <v>47</v>
      </c>
      <c r="G7" s="26">
        <f>IFERROR(INDEX('The 100'!$L$7:$L$106,MATCH(B7,'The 100'!$A$7:$A$106,0)),"")</f>
        <v>95.5</v>
      </c>
      <c r="H7" s="26">
        <f>IFERROR(INDEX('The 100'!$M$7:$M$106,MATCH(B7,'The 100'!$A$7:$A$106,0)),"")</f>
        <v>9.4</v>
      </c>
      <c r="I7" s="27" t="s">
        <v>20</v>
      </c>
      <c r="J7" s="28" t="str">
        <f>HYPERLINK("#'The 100'!B"&amp;(MATCH(B7,'The 100'!$A$7:$A$106,0)+6),"Open entry")</f>
        <v>Open entry</v>
      </c>
    </row>
    <row r="8" spans="1:10" ht="45" customHeight="1">
      <c r="A8" s="32">
        <v>2000</v>
      </c>
      <c r="B8" s="29">
        <v>60</v>
      </c>
      <c r="C8" s="30" t="s">
        <v>185</v>
      </c>
      <c r="D8" s="38" t="s">
        <v>162</v>
      </c>
      <c r="E8" s="33" t="s">
        <v>186</v>
      </c>
      <c r="F8" s="33" t="s">
        <v>144</v>
      </c>
      <c r="G8" s="34">
        <f>IFERROR(INDEX('The 100'!$L$7:$L$106,MATCH(B8,'The 100'!$A$7:$A$106,0)),"")</f>
        <v>89.33333333333333</v>
      </c>
      <c r="H8" s="34">
        <f>IFERROR(INDEX('The 100'!$M$7:$M$106,MATCH(B8,'The 100'!$A$7:$A$106,0)),"")</f>
        <v>8.212121212121213</v>
      </c>
      <c r="I8" s="35"/>
      <c r="J8" s="36" t="str">
        <f>HYPERLINK("#'The 100'!B"&amp;(MATCH(B8,'The 100'!$A$7:$A$106,0)+6),"Open entry")</f>
        <v>Open entry</v>
      </c>
    </row>
    <row r="9" spans="1:10" ht="45" customHeight="1">
      <c r="A9" s="24">
        <v>2002</v>
      </c>
      <c r="B9" s="21">
        <v>46</v>
      </c>
      <c r="C9" s="22" t="s">
        <v>149</v>
      </c>
      <c r="D9" s="23" t="s">
        <v>8</v>
      </c>
      <c r="E9" s="25" t="s">
        <v>67</v>
      </c>
      <c r="F9" s="25" t="s">
        <v>10</v>
      </c>
      <c r="G9" s="26">
        <f>IFERROR(INDEX('The 100'!$L$7:$L$106,MATCH(B9,'The 100'!$A$7:$A$106,0)),"")</f>
        <v>95.66666666666667</v>
      </c>
      <c r="H9" s="26">
        <f>IFERROR(INDEX('The 100'!$M$7:$M$106,MATCH(B9,'The 100'!$A$7:$A$106,0)),"")</f>
        <v>8.636363636363637</v>
      </c>
      <c r="I9" s="27"/>
      <c r="J9" s="28" t="str">
        <f>HYPERLINK("#'The 100'!B"&amp;(MATCH(B9,'The 100'!$A$7:$A$106,0)+6),"Open entry")</f>
        <v>Open entry</v>
      </c>
    </row>
    <row r="10" spans="1:10" ht="45" customHeight="1">
      <c r="A10" s="32">
        <v>2002</v>
      </c>
      <c r="B10" s="29">
        <v>64</v>
      </c>
      <c r="C10" s="30" t="s">
        <v>196</v>
      </c>
      <c r="D10" s="38" t="s">
        <v>162</v>
      </c>
      <c r="E10" s="33" t="s">
        <v>186</v>
      </c>
      <c r="F10" s="33" t="s">
        <v>194</v>
      </c>
      <c r="G10" s="34">
        <f>IFERROR(INDEX('The 100'!$L$7:$L$106,MATCH(B10,'The 100'!$A$7:$A$106,0)),"")</f>
        <v>92.33333333333333</v>
      </c>
      <c r="H10" s="34">
        <f>IFERROR(INDEX('The 100'!$M$7:$M$106,MATCH(B10,'The 100'!$A$7:$A$106,0)),"")</f>
        <v>8.09090909090909</v>
      </c>
      <c r="I10" s="35"/>
      <c r="J10" s="36" t="str">
        <f>HYPERLINK("#'The 100'!B"&amp;(MATCH(B10,'The 100'!$A$7:$A$106,0)+6),"Open entry")</f>
        <v>Open entry</v>
      </c>
    </row>
    <row r="11" spans="1:10" ht="45" customHeight="1">
      <c r="A11" s="24">
        <v>2003</v>
      </c>
      <c r="B11" s="21">
        <v>30</v>
      </c>
      <c r="C11" s="22" t="s">
        <v>99</v>
      </c>
      <c r="D11" s="23" t="s">
        <v>8</v>
      </c>
      <c r="E11" s="25" t="s">
        <v>100</v>
      </c>
      <c r="F11" s="25" t="s">
        <v>101</v>
      </c>
      <c r="G11" s="26">
        <f>IFERROR(INDEX('The 100'!$L$7:$L$106,MATCH(B11,'The 100'!$A$7:$A$106,0)),"")</f>
        <v>92.6</v>
      </c>
      <c r="H11" s="26">
        <f>IFERROR(INDEX('The 100'!$M$7:$M$106,MATCH(B11,'The 100'!$A$7:$A$106,0)),"")</f>
        <v>9.1</v>
      </c>
      <c r="I11" s="27" t="s">
        <v>20</v>
      </c>
      <c r="J11" s="28" t="str">
        <f>HYPERLINK("#'The 100'!B"&amp;(MATCH(B11,'The 100'!$A$7:$A$106,0)+6),"Open entry")</f>
        <v>Open entry</v>
      </c>
    </row>
    <row r="12" spans="1:10" ht="45" customHeight="1">
      <c r="A12" s="32">
        <v>2004</v>
      </c>
      <c r="B12" s="29">
        <v>19</v>
      </c>
      <c r="C12" s="30" t="s">
        <v>66</v>
      </c>
      <c r="D12" s="31" t="s">
        <v>8</v>
      </c>
      <c r="E12" s="33" t="s">
        <v>67</v>
      </c>
      <c r="F12" s="33" t="s">
        <v>10</v>
      </c>
      <c r="G12" s="34">
        <f>IFERROR(INDEX('The 100'!$L$7:$L$106,MATCH(B12,'The 100'!$A$7:$A$106,0)),"")</f>
        <v>95.5</v>
      </c>
      <c r="H12" s="34">
        <f>IFERROR(INDEX('The 100'!$M$7:$M$106,MATCH(B12,'The 100'!$A$7:$A$106,0)),"")</f>
        <v>9.454545454545455</v>
      </c>
      <c r="I12" s="35"/>
      <c r="J12" s="36" t="str">
        <f>HYPERLINK("#'The 100'!B"&amp;(MATCH(B12,'The 100'!$A$7:$A$106,0)+6),"Open entry")</f>
        <v>Open entry</v>
      </c>
    </row>
    <row r="13" spans="1:10" ht="45" customHeight="1">
      <c r="A13" s="24">
        <v>2004</v>
      </c>
      <c r="B13" s="21">
        <v>25</v>
      </c>
      <c r="C13" s="22" t="s">
        <v>84</v>
      </c>
      <c r="D13" s="23" t="s">
        <v>8</v>
      </c>
      <c r="E13" s="25" t="s">
        <v>81</v>
      </c>
      <c r="F13" s="25" t="s">
        <v>85</v>
      </c>
      <c r="G13" s="26">
        <f>IFERROR(INDEX('The 100'!$L$7:$L$106,MATCH(B13,'The 100'!$A$7:$A$106,0)),"")</f>
        <v>95.4</v>
      </c>
      <c r="H13" s="26">
        <f>IFERROR(INDEX('The 100'!$M$7:$M$106,MATCH(B13,'The 100'!$A$7:$A$106,0)),"")</f>
        <v>9.272727272727273</v>
      </c>
      <c r="I13" s="27"/>
      <c r="J13" s="28" t="str">
        <f>HYPERLINK("#'The 100'!B"&amp;(MATCH(B13,'The 100'!$A$7:$A$106,0)+6),"Open entry")</f>
        <v>Open entry</v>
      </c>
    </row>
    <row r="14" spans="1:10" ht="45" customHeight="1">
      <c r="A14" s="32">
        <v>2004</v>
      </c>
      <c r="B14" s="29">
        <v>31</v>
      </c>
      <c r="C14" s="30" t="s">
        <v>103</v>
      </c>
      <c r="D14" s="31" t="s">
        <v>8</v>
      </c>
      <c r="E14" s="33" t="s">
        <v>104</v>
      </c>
      <c r="F14" s="33" t="s">
        <v>105</v>
      </c>
      <c r="G14" s="34">
        <f>IFERROR(INDEX('The 100'!$L$7:$L$106,MATCH(B14,'The 100'!$A$7:$A$106,0)),"")</f>
        <v>90.5</v>
      </c>
      <c r="H14" s="34">
        <f>IFERROR(INDEX('The 100'!$M$7:$M$106,MATCH(B14,'The 100'!$A$7:$A$106,0)),"")</f>
        <v>9.09090909090909</v>
      </c>
      <c r="I14" s="35"/>
      <c r="J14" s="36" t="str">
        <f>HYPERLINK("#'The 100'!B"&amp;(MATCH(B14,'The 100'!$A$7:$A$106,0)+6),"Open entry")</f>
        <v>Open entry</v>
      </c>
    </row>
    <row r="15" spans="1:10" ht="45" customHeight="1">
      <c r="A15" s="24">
        <v>2004</v>
      </c>
      <c r="B15" s="21">
        <v>62</v>
      </c>
      <c r="C15" s="22" t="s">
        <v>190</v>
      </c>
      <c r="D15" s="37" t="s">
        <v>162</v>
      </c>
      <c r="E15" s="25" t="s">
        <v>186</v>
      </c>
      <c r="F15" s="25" t="s">
        <v>191</v>
      </c>
      <c r="G15" s="26">
        <f>IFERROR(INDEX('The 100'!$L$7:$L$106,MATCH(B15,'The 100'!$A$7:$A$106,0)),"")</f>
        <v>92.66666666666667</v>
      </c>
      <c r="H15" s="26">
        <f>IFERROR(INDEX('The 100'!$M$7:$M$106,MATCH(B15,'The 100'!$A$7:$A$106,0)),"")</f>
        <v>8.151515151515152</v>
      </c>
      <c r="I15" s="27"/>
      <c r="J15" s="28" t="str">
        <f>HYPERLINK("#'The 100'!B"&amp;(MATCH(B15,'The 100'!$A$7:$A$106,0)+6),"Open entry")</f>
        <v>Open entry</v>
      </c>
    </row>
    <row r="16" spans="1:10" ht="45" customHeight="1">
      <c r="A16" s="32">
        <v>2005</v>
      </c>
      <c r="B16" s="29">
        <v>58</v>
      </c>
      <c r="C16" s="30" t="s">
        <v>180</v>
      </c>
      <c r="D16" s="38" t="s">
        <v>162</v>
      </c>
      <c r="E16" s="33" t="s">
        <v>174</v>
      </c>
      <c r="F16" s="33" t="s">
        <v>144</v>
      </c>
      <c r="G16" s="34">
        <f>IFERROR(INDEX('The 100'!$L$7:$L$106,MATCH(B16,'The 100'!$A$7:$A$106,0)),"")</f>
        <v>89.0</v>
      </c>
      <c r="H16" s="34">
        <f>IFERROR(INDEX('The 100'!$M$7:$M$106,MATCH(B16,'The 100'!$A$7:$A$106,0)),"")</f>
        <v>8.272727272727273</v>
      </c>
      <c r="I16" s="35"/>
      <c r="J16" s="36" t="str">
        <f>HYPERLINK("#'The 100'!B"&amp;(MATCH(B16,'The 100'!$A$7:$A$106,0)+6),"Open entry")</f>
        <v>Open entry</v>
      </c>
    </row>
    <row r="17" spans="1:10" ht="45" customHeight="1">
      <c r="A17" s="24">
        <v>2006</v>
      </c>
      <c r="B17" s="21">
        <v>35</v>
      </c>
      <c r="C17" s="22" t="s">
        <v>118</v>
      </c>
      <c r="D17" s="23" t="s">
        <v>8</v>
      </c>
      <c r="E17" s="25" t="s">
        <v>43</v>
      </c>
      <c r="F17" s="25" t="s">
        <v>19</v>
      </c>
      <c r="G17" s="26">
        <f>IFERROR(INDEX('The 100'!$L$7:$L$106,MATCH(B17,'The 100'!$A$7:$A$106,0)),"")</f>
        <v>93.6</v>
      </c>
      <c r="H17" s="26">
        <f>IFERROR(INDEX('The 100'!$M$7:$M$106,MATCH(B17,'The 100'!$A$7:$A$106,0)),"")</f>
        <v>8.969696969696969</v>
      </c>
      <c r="I17" s="27"/>
      <c r="J17" s="28" t="str">
        <f>HYPERLINK("#'The 100'!B"&amp;(MATCH(B17,'The 100'!$A$7:$A$106,0)+6),"Open entry")</f>
        <v>Open entry</v>
      </c>
    </row>
    <row r="18" spans="1:10" ht="45" customHeight="1">
      <c r="A18" s="32">
        <v>2007</v>
      </c>
      <c r="B18" s="29">
        <v>9</v>
      </c>
      <c r="C18" s="30" t="s">
        <v>36</v>
      </c>
      <c r="D18" s="31" t="s">
        <v>8</v>
      </c>
      <c r="E18" s="33" t="s">
        <v>37</v>
      </c>
      <c r="F18" s="33" t="s">
        <v>38</v>
      </c>
      <c r="G18" s="34">
        <f>IFERROR(INDEX('The 100'!$L$7:$L$106,MATCH(B18,'The 100'!$A$7:$A$106,0)),"")</f>
        <v>94.0</v>
      </c>
      <c r="H18" s="34">
        <f>IFERROR(INDEX('The 100'!$M$7:$M$106,MATCH(B18,'The 100'!$A$7:$A$106,0)),"")</f>
        <v>9.757575757575758</v>
      </c>
      <c r="I18" s="35"/>
      <c r="J18" s="36" t="str">
        <f>HYPERLINK("#'The 100'!B"&amp;(MATCH(B18,'The 100'!$A$7:$A$106,0)+6),"Open entry")</f>
        <v>Open entry</v>
      </c>
    </row>
    <row r="19" spans="1:10" ht="45" customHeight="1">
      <c r="A19" s="24">
        <v>2007</v>
      </c>
      <c r="B19" s="21">
        <v>10</v>
      </c>
      <c r="C19" s="22" t="s">
        <v>40</v>
      </c>
      <c r="D19" s="23" t="s">
        <v>8</v>
      </c>
      <c r="E19" s="25" t="s">
        <v>14</v>
      </c>
      <c r="F19" s="25" t="s">
        <v>15</v>
      </c>
      <c r="G19" s="26">
        <f>IFERROR(INDEX('The 100'!$L$7:$L$106,MATCH(B19,'The 100'!$A$7:$A$106,0)),"")</f>
        <v>87.0</v>
      </c>
      <c r="H19" s="26">
        <f>IFERROR(INDEX('The 100'!$M$7:$M$106,MATCH(B19,'The 100'!$A$7:$A$106,0)),"")</f>
        <v>9.727272727272727</v>
      </c>
      <c r="I19" s="27"/>
      <c r="J19" s="28" t="str">
        <f>HYPERLINK("#'The 100'!B"&amp;(MATCH(B19,'The 100'!$A$7:$A$106,0)+6),"Open entry")</f>
        <v>Open entry</v>
      </c>
    </row>
    <row r="20" spans="1:10" ht="45" customHeight="1">
      <c r="A20" s="32">
        <v>2007</v>
      </c>
      <c r="B20" s="29">
        <v>23</v>
      </c>
      <c r="C20" s="30" t="s">
        <v>76</v>
      </c>
      <c r="D20" s="31" t="s">
        <v>8</v>
      </c>
      <c r="E20" s="33" t="s">
        <v>77</v>
      </c>
      <c r="F20" s="33" t="s">
        <v>78</v>
      </c>
      <c r="G20" s="34">
        <f>IFERROR(INDEX('The 100'!$L$7:$L$106,MATCH(B20,'The 100'!$A$7:$A$106,0)),"")</f>
        <v>94.5</v>
      </c>
      <c r="H20" s="34">
        <f>IFERROR(INDEX('The 100'!$M$7:$M$106,MATCH(B20,'The 100'!$A$7:$A$106,0)),"")</f>
        <v>9.333333333333334</v>
      </c>
      <c r="I20" s="35"/>
      <c r="J20" s="36" t="str">
        <f>HYPERLINK("#'The 100'!B"&amp;(MATCH(B20,'The 100'!$A$7:$A$106,0)+6),"Open entry")</f>
        <v>Open entry</v>
      </c>
    </row>
    <row r="21" spans="1:10" ht="45" customHeight="1">
      <c r="A21" s="24">
        <v>2007</v>
      </c>
      <c r="B21" s="21">
        <v>32</v>
      </c>
      <c r="C21" s="22" t="s">
        <v>107</v>
      </c>
      <c r="D21" s="23" t="s">
        <v>8</v>
      </c>
      <c r="E21" s="25" t="s">
        <v>108</v>
      </c>
      <c r="F21" s="25" t="s">
        <v>78</v>
      </c>
      <c r="G21" s="26">
        <f>IFERROR(INDEX('The 100'!$L$7:$L$106,MATCH(B21,'The 100'!$A$7:$A$106,0)),"")</f>
        <v>92.5</v>
      </c>
      <c r="H21" s="26">
        <f>IFERROR(INDEX('The 100'!$M$7:$M$106,MATCH(B21,'The 100'!$A$7:$A$106,0)),"")</f>
        <v>9.06060606060606</v>
      </c>
      <c r="I21" s="27"/>
      <c r="J21" s="28" t="str">
        <f>HYPERLINK("#'The 100'!B"&amp;(MATCH(B21,'The 100'!$A$7:$A$106,0)+6),"Open entry")</f>
        <v>Open entry</v>
      </c>
    </row>
    <row r="22" spans="1:10" ht="45" customHeight="1">
      <c r="A22" s="32">
        <v>2008</v>
      </c>
      <c r="B22" s="29">
        <v>7</v>
      </c>
      <c r="C22" s="30" t="s">
        <v>32</v>
      </c>
      <c r="D22" s="31" t="s">
        <v>8</v>
      </c>
      <c r="E22" s="33" t="s">
        <v>9</v>
      </c>
      <c r="F22" s="33" t="s">
        <v>10</v>
      </c>
      <c r="G22" s="34">
        <f>IFERROR(INDEX('The 100'!$L$7:$L$106,MATCH(B22,'The 100'!$A$7:$A$106,0)),"")</f>
        <v>96.0</v>
      </c>
      <c r="H22" s="34">
        <f>IFERROR(INDEX('The 100'!$M$7:$M$106,MATCH(B22,'The 100'!$A$7:$A$106,0)),"")</f>
        <v>9.8</v>
      </c>
      <c r="I22" s="35"/>
      <c r="J22" s="36" t="str">
        <f>HYPERLINK("#'The 100'!B"&amp;(MATCH(B22,'The 100'!$A$7:$A$106,0)+6),"Open entry")</f>
        <v>Open entry</v>
      </c>
    </row>
    <row r="23" spans="1:10" ht="45" customHeight="1">
      <c r="A23" s="24">
        <v>2008</v>
      </c>
      <c r="B23" s="21">
        <v>21</v>
      </c>
      <c r="C23" s="22" t="s">
        <v>71</v>
      </c>
      <c r="D23" s="23" t="s">
        <v>8</v>
      </c>
      <c r="E23" s="25" t="s">
        <v>43</v>
      </c>
      <c r="F23" s="25" t="s">
        <v>19</v>
      </c>
      <c r="G23" s="26">
        <f>IFERROR(INDEX('The 100'!$L$7:$L$106,MATCH(B23,'The 100'!$A$7:$A$106,0)),"")</f>
        <v>92.4</v>
      </c>
      <c r="H23" s="26">
        <f>IFERROR(INDEX('The 100'!$M$7:$M$106,MATCH(B23,'The 100'!$A$7:$A$106,0)),"")</f>
        <v>9.393939393939394</v>
      </c>
      <c r="I23" s="27"/>
      <c r="J23" s="28" t="str">
        <f>HYPERLINK("#'The 100'!B"&amp;(MATCH(B23,'The 100'!$A$7:$A$106,0)+6),"Open entry")</f>
        <v>Open entry</v>
      </c>
    </row>
    <row r="24" spans="1:10" ht="45" customHeight="1">
      <c r="A24" s="32">
        <v>2009</v>
      </c>
      <c r="B24" s="29">
        <v>66</v>
      </c>
      <c r="C24" s="30" t="s">
        <v>201</v>
      </c>
      <c r="D24" s="38" t="s">
        <v>162</v>
      </c>
      <c r="E24" s="33" t="s">
        <v>108</v>
      </c>
      <c r="F24" s="33" t="s">
        <v>78</v>
      </c>
      <c r="G24" s="34">
        <f>IFERROR(INDEX('The 100'!$L$7:$L$106,MATCH(B24,'The 100'!$A$7:$A$106,0)),"")</f>
        <v>94.5</v>
      </c>
      <c r="H24" s="34">
        <f>IFERROR(INDEX('The 100'!$M$7:$M$106,MATCH(B24,'The 100'!$A$7:$A$106,0)),"")</f>
        <v>8.030303030303031</v>
      </c>
      <c r="I24" s="35"/>
      <c r="J24" s="36" t="str">
        <f>HYPERLINK("#'The 100'!B"&amp;(MATCH(B24,'The 100'!$A$7:$A$106,0)+6),"Open entry")</f>
        <v>Open entry</v>
      </c>
    </row>
    <row r="25" spans="1:10" ht="45" customHeight="1">
      <c r="A25" s="24">
        <v>2009</v>
      </c>
      <c r="B25" s="21">
        <v>80</v>
      </c>
      <c r="C25" s="22" t="s">
        <v>236</v>
      </c>
      <c r="D25" s="37" t="s">
        <v>162</v>
      </c>
      <c r="E25" s="25" t="s">
        <v>90</v>
      </c>
      <c r="F25" s="25" t="s">
        <v>237</v>
      </c>
      <c r="G25" s="26">
        <f>IFERROR(INDEX('The 100'!$L$7:$L$106,MATCH(B25,'The 100'!$A$7:$A$106,0)),"")</f>
        <v>81.25</v>
      </c>
      <c r="H25" s="26">
        <f>IFERROR(INDEX('The 100'!$M$7:$M$106,MATCH(B25,'The 100'!$A$7:$A$106,0)),"")</f>
        <v>7.6060606060606055</v>
      </c>
      <c r="I25" s="27"/>
      <c r="J25" s="28" t="str">
        <f>HYPERLINK("#'The 100'!B"&amp;(MATCH(B25,'The 100'!$A$7:$A$106,0)+6),"Open entry")</f>
        <v>Open entry</v>
      </c>
    </row>
    <row r="26" spans="1:10" ht="45" customHeight="1">
      <c r="A26" s="32">
        <v>2010</v>
      </c>
      <c r="B26" s="29">
        <v>2</v>
      </c>
      <c r="C26" s="30" t="s">
        <v>13</v>
      </c>
      <c r="D26" s="31" t="s">
        <v>8</v>
      </c>
      <c r="E26" s="33" t="s">
        <v>14</v>
      </c>
      <c r="F26" s="33" t="s">
        <v>15</v>
      </c>
      <c r="G26" s="34">
        <f>IFERROR(INDEX('The 100'!$L$7:$L$106,MATCH(B26,'The 100'!$A$7:$A$106,0)),"")</f>
        <v>93.2</v>
      </c>
      <c r="H26" s="34">
        <f>IFERROR(INDEX('The 100'!$M$7:$M$106,MATCH(B26,'The 100'!$A$7:$A$106,0)),"")</f>
        <v>9.969696969696969</v>
      </c>
      <c r="I26" s="35"/>
      <c r="J26" s="36" t="str">
        <f>HYPERLINK("#'The 100'!B"&amp;(MATCH(B26,'The 100'!$A$7:$A$106,0)+6),"Open entry")</f>
        <v>Open entry</v>
      </c>
    </row>
    <row r="27" spans="1:10" ht="45" customHeight="1">
      <c r="A27" s="24">
        <v>2010</v>
      </c>
      <c r="B27" s="21">
        <v>8</v>
      </c>
      <c r="C27" s="22" t="s">
        <v>34</v>
      </c>
      <c r="D27" s="23" t="s">
        <v>8</v>
      </c>
      <c r="E27" s="25" t="s">
        <v>9</v>
      </c>
      <c r="F27" s="25" t="s">
        <v>10</v>
      </c>
      <c r="G27" s="26">
        <f>IFERROR(INDEX('The 100'!$L$7:$L$106,MATCH(B27,'The 100'!$A$7:$A$106,0)),"")</f>
        <v>95.66666666666667</v>
      </c>
      <c r="H27" s="26">
        <f>IFERROR(INDEX('The 100'!$M$7:$M$106,MATCH(B27,'The 100'!$A$7:$A$106,0)),"")</f>
        <v>9.787878787878787</v>
      </c>
      <c r="I27" s="27"/>
      <c r="J27" s="28" t="str">
        <f>HYPERLINK("#'The 100'!B"&amp;(MATCH(B27,'The 100'!$A$7:$A$106,0)+6),"Open entry")</f>
        <v>Open entry</v>
      </c>
    </row>
    <row r="28" spans="1:10" ht="45" customHeight="1">
      <c r="A28" s="32">
        <v>2010</v>
      </c>
      <c r="B28" s="29">
        <v>36</v>
      </c>
      <c r="C28" s="30" t="s">
        <v>120</v>
      </c>
      <c r="D28" s="31" t="s">
        <v>8</v>
      </c>
      <c r="E28" s="33" t="s">
        <v>77</v>
      </c>
      <c r="F28" s="33" t="s">
        <v>78</v>
      </c>
      <c r="G28" s="34">
        <f>IFERROR(INDEX('The 100'!$L$7:$L$106,MATCH(B28,'The 100'!$A$7:$A$106,0)),"")</f>
        <v>93.0</v>
      </c>
      <c r="H28" s="34">
        <f>IFERROR(INDEX('The 100'!$M$7:$M$106,MATCH(B28,'The 100'!$A$7:$A$106,0)),"")</f>
        <v>8.93939393939394</v>
      </c>
      <c r="I28" s="35"/>
      <c r="J28" s="36" t="str">
        <f>HYPERLINK("#'The 100'!B"&amp;(MATCH(B28,'The 100'!$A$7:$A$106,0)+6),"Open entry")</f>
        <v>Open entry</v>
      </c>
    </row>
    <row r="29" spans="1:10" ht="45" customHeight="1">
      <c r="A29" s="24">
        <v>2010</v>
      </c>
      <c r="B29" s="21">
        <v>63</v>
      </c>
      <c r="C29" s="22" t="s">
        <v>193</v>
      </c>
      <c r="D29" s="37" t="s">
        <v>162</v>
      </c>
      <c r="E29" s="25" t="s">
        <v>186</v>
      </c>
      <c r="F29" s="25" t="s">
        <v>194</v>
      </c>
      <c r="G29" s="26">
        <f>IFERROR(INDEX('The 100'!$L$7:$L$106,MATCH(B29,'The 100'!$A$7:$A$106,0)),"")</f>
        <v>92.25</v>
      </c>
      <c r="H29" s="26">
        <f>IFERROR(INDEX('The 100'!$M$7:$M$106,MATCH(B29,'The 100'!$A$7:$A$106,0)),"")</f>
        <v>8.121212121212121</v>
      </c>
      <c r="I29" s="27"/>
      <c r="J29" s="28" t="str">
        <f>HYPERLINK("#'The 100'!B"&amp;(MATCH(B29,'The 100'!$A$7:$A$106,0)+6),"Open entry")</f>
        <v>Open entry</v>
      </c>
    </row>
    <row r="30" spans="1:10" ht="45" customHeight="1">
      <c r="A30" s="32">
        <v>2010</v>
      </c>
      <c r="B30" s="29">
        <v>67</v>
      </c>
      <c r="C30" s="30" t="s">
        <v>203</v>
      </c>
      <c r="D30" s="38" t="s">
        <v>162</v>
      </c>
      <c r="E30" s="33" t="s">
        <v>204</v>
      </c>
      <c r="F30" s="33" t="s">
        <v>78</v>
      </c>
      <c r="G30" s="34">
        <f>IFERROR(INDEX('The 100'!$L$7:$L$106,MATCH(B30,'The 100'!$A$7:$A$106,0)),"")</f>
        <v>87.25</v>
      </c>
      <c r="H30" s="34">
        <f>IFERROR(INDEX('The 100'!$M$7:$M$106,MATCH(B30,'The 100'!$A$7:$A$106,0)),"")</f>
        <v>8</v>
      </c>
      <c r="I30" s="35"/>
      <c r="J30" s="36" t="str">
        <f>HYPERLINK("#'The 100'!B"&amp;(MATCH(B30,'The 100'!$A$7:$A$106,0)+6),"Open entry")</f>
        <v>Open entry</v>
      </c>
    </row>
    <row r="31" spans="1:10" ht="45" customHeight="1">
      <c r="A31" s="24">
        <v>2011</v>
      </c>
      <c r="B31" s="21">
        <v>11</v>
      </c>
      <c r="C31" s="22" t="s">
        <v>42</v>
      </c>
      <c r="D31" s="23" t="s">
        <v>8</v>
      </c>
      <c r="E31" s="25" t="s">
        <v>43</v>
      </c>
      <c r="F31" s="25" t="s">
        <v>19</v>
      </c>
      <c r="G31" s="26">
        <f>IFERROR(INDEX('The 100'!$L$7:$L$106,MATCH(B31,'The 100'!$A$7:$A$106,0)),"")</f>
        <v>94.8</v>
      </c>
      <c r="H31" s="26">
        <f>IFERROR(INDEX('The 100'!$M$7:$M$106,MATCH(B31,'The 100'!$A$7:$A$106,0)),"")</f>
        <v>9.7</v>
      </c>
      <c r="I31" s="27" t="s">
        <v>20</v>
      </c>
      <c r="J31" s="28" t="str">
        <f>HYPERLINK("#'The 100'!B"&amp;(MATCH(B31,'The 100'!$A$7:$A$106,0)+6),"Open entry")</f>
        <v>Open entry</v>
      </c>
    </row>
    <row r="32" spans="1:10" ht="45" customHeight="1">
      <c r="A32" s="32">
        <v>2011</v>
      </c>
      <c r="B32" s="29">
        <v>14</v>
      </c>
      <c r="C32" s="30" t="s">
        <v>53</v>
      </c>
      <c r="D32" s="31" t="s">
        <v>8</v>
      </c>
      <c r="E32" s="33" t="s">
        <v>54</v>
      </c>
      <c r="F32" s="33" t="s">
        <v>24</v>
      </c>
      <c r="G32" s="34">
        <f>IFERROR(INDEX('The 100'!$L$7:$L$106,MATCH(B32,'The 100'!$A$7:$A$106,0)),"")</f>
        <v>93.4</v>
      </c>
      <c r="H32" s="34">
        <f>IFERROR(INDEX('The 100'!$M$7:$M$106,MATCH(B32,'The 100'!$A$7:$A$106,0)),"")</f>
        <v>9.606060606060606</v>
      </c>
      <c r="I32" s="35"/>
      <c r="J32" s="36" t="str">
        <f>HYPERLINK("#'The 100'!B"&amp;(MATCH(B32,'The 100'!$A$7:$A$106,0)+6),"Open entry")</f>
        <v>Open entry</v>
      </c>
    </row>
    <row r="33" spans="1:10" ht="45" customHeight="1">
      <c r="A33" s="24">
        <v>2011</v>
      </c>
      <c r="B33" s="21">
        <v>24</v>
      </c>
      <c r="C33" s="22" t="s">
        <v>80</v>
      </c>
      <c r="D33" s="23" t="s">
        <v>8</v>
      </c>
      <c r="E33" s="25" t="s">
        <v>81</v>
      </c>
      <c r="F33" s="25" t="s">
        <v>82</v>
      </c>
      <c r="G33" s="26">
        <f>IFERROR(INDEX('The 100'!$L$7:$L$106,MATCH(B33,'The 100'!$A$7:$A$106,0)),"")</f>
        <v>96.8</v>
      </c>
      <c r="H33" s="26">
        <f>IFERROR(INDEX('The 100'!$M$7:$M$106,MATCH(B33,'The 100'!$A$7:$A$106,0)),"")</f>
        <v>9.3</v>
      </c>
      <c r="I33" s="27" t="s">
        <v>20</v>
      </c>
      <c r="J33" s="28" t="str">
        <f>HYPERLINK("#'The 100'!B"&amp;(MATCH(B33,'The 100'!$A$7:$A$106,0)+6),"Open entry")</f>
        <v>Open entry</v>
      </c>
    </row>
    <row r="34" spans="1:10" ht="45" customHeight="1">
      <c r="A34" s="32">
        <v>2011</v>
      </c>
      <c r="B34" s="29">
        <v>70</v>
      </c>
      <c r="C34" s="30" t="s">
        <v>210</v>
      </c>
      <c r="D34" s="38" t="s">
        <v>162</v>
      </c>
      <c r="E34" s="33" t="s">
        <v>140</v>
      </c>
      <c r="F34" s="33" t="s">
        <v>78</v>
      </c>
      <c r="G34" s="34">
        <f>IFERROR(INDEX('The 100'!$L$7:$L$106,MATCH(B34,'The 100'!$A$7:$A$106,0)),"")</f>
        <v>88.0</v>
      </c>
      <c r="H34" s="34">
        <f>IFERROR(INDEX('The 100'!$M$7:$M$106,MATCH(B34,'The 100'!$A$7:$A$106,0)),"")</f>
        <v>7.909090909090909</v>
      </c>
      <c r="I34" s="35"/>
      <c r="J34" s="36" t="str">
        <f>HYPERLINK("#'The 100'!B"&amp;(MATCH(B34,'The 100'!$A$7:$A$106,0)+6),"Open entry")</f>
        <v>Open entry</v>
      </c>
    </row>
    <row r="35" spans="1:10" ht="45" customHeight="1">
      <c r="A35" s="24">
        <v>2011</v>
      </c>
      <c r="B35" s="21">
        <v>100</v>
      </c>
      <c r="C35" s="22" t="s">
        <v>293</v>
      </c>
      <c r="D35" s="37" t="s">
        <v>162</v>
      </c>
      <c r="E35" s="25" t="s">
        <v>294</v>
      </c>
      <c r="F35" s="25" t="s">
        <v>295</v>
      </c>
      <c r="G35" s="26">
        <f>IFERROR(INDEX('The 100'!$L$7:$L$106,MATCH(B35,'The 100'!$A$7:$A$106,0)),"")</f>
        <v>81.6</v>
      </c>
      <c r="H35" s="26">
        <f>IFERROR(INDEX('The 100'!$M$7:$M$106,MATCH(B35,'The 100'!$A$7:$A$106,0)),"")</f>
        <v>7</v>
      </c>
      <c r="I35" s="27"/>
      <c r="J35" s="28" t="str">
        <f>HYPERLINK("#'The 100'!B"&amp;(MATCH(B35,'The 100'!$A$7:$A$106,0)+6),"Open entry")</f>
        <v>Open entry</v>
      </c>
    </row>
    <row r="36" spans="1:10" ht="45" customHeight="1">
      <c r="A36" s="32">
        <v>2012</v>
      </c>
      <c r="B36" s="29">
        <v>20</v>
      </c>
      <c r="C36" s="30" t="s">
        <v>69</v>
      </c>
      <c r="D36" s="31" t="s">
        <v>8</v>
      </c>
      <c r="E36" s="33" t="s">
        <v>14</v>
      </c>
      <c r="F36" s="33" t="s">
        <v>15</v>
      </c>
      <c r="G36" s="34">
        <f>IFERROR(INDEX('The 100'!$L$7:$L$106,MATCH(B36,'The 100'!$A$7:$A$106,0)),"")</f>
        <v>92.4</v>
      </c>
      <c r="H36" s="34">
        <f>IFERROR(INDEX('The 100'!$M$7:$M$106,MATCH(B36,'The 100'!$A$7:$A$106,0)),"")</f>
        <v>9.424242424242424</v>
      </c>
      <c r="I36" s="35"/>
      <c r="J36" s="36" t="str">
        <f>HYPERLINK("#'The 100'!B"&amp;(MATCH(B36,'The 100'!$A$7:$A$106,0)+6),"Open entry")</f>
        <v>Open entry</v>
      </c>
    </row>
    <row r="37" spans="1:10" ht="45" customHeight="1">
      <c r="A37" s="24">
        <v>2012</v>
      </c>
      <c r="B37" s="21">
        <v>34</v>
      </c>
      <c r="C37" s="22" t="s">
        <v>114</v>
      </c>
      <c r="D37" s="23" t="s">
        <v>8</v>
      </c>
      <c r="E37" s="25" t="s">
        <v>115</v>
      </c>
      <c r="F37" s="25" t="s">
        <v>116</v>
      </c>
      <c r="G37" s="26">
        <f>IFERROR(INDEX('The 100'!$L$7:$L$106,MATCH(B37,'The 100'!$A$7:$A$106,0)),"")</f>
        <v>89.2</v>
      </c>
      <c r="H37" s="26">
        <f>IFERROR(INDEX('The 100'!$M$7:$M$106,MATCH(B37,'The 100'!$A$7:$A$106,0)),"")</f>
        <v>9.0</v>
      </c>
      <c r="I37" s="27" t="s">
        <v>20</v>
      </c>
      <c r="J37" s="28" t="str">
        <f>HYPERLINK("#'The 100'!B"&amp;(MATCH(B37,'The 100'!$A$7:$A$106,0)+6),"Open entry")</f>
        <v>Open entry</v>
      </c>
    </row>
    <row r="38" spans="1:10" ht="45" customHeight="1">
      <c r="A38" s="32">
        <v>2012</v>
      </c>
      <c r="B38" s="29">
        <v>68</v>
      </c>
      <c r="C38" s="30" t="s">
        <v>206</v>
      </c>
      <c r="D38" s="38" t="s">
        <v>162</v>
      </c>
      <c r="E38" s="33" t="s">
        <v>204</v>
      </c>
      <c r="F38" s="33" t="s">
        <v>78</v>
      </c>
      <c r="G38" s="34">
        <f>IFERROR(INDEX('The 100'!$L$7:$L$106,MATCH(B38,'The 100'!$A$7:$A$106,0)),"")</f>
        <v>85.8</v>
      </c>
      <c r="H38" s="34">
        <f>IFERROR(INDEX('The 100'!$M$7:$M$106,MATCH(B38,'The 100'!$A$7:$A$106,0)),"")</f>
        <v>7.96969696969697</v>
      </c>
      <c r="I38" s="35"/>
      <c r="J38" s="36" t="str">
        <f>HYPERLINK("#'The 100'!B"&amp;(MATCH(B38,'The 100'!$A$7:$A$106,0)+6),"Open entry")</f>
        <v>Open entry</v>
      </c>
    </row>
    <row r="39" spans="1:10" ht="45" customHeight="1">
      <c r="A39" s="24">
        <v>2012</v>
      </c>
      <c r="B39" s="21">
        <v>95</v>
      </c>
      <c r="C39" s="22" t="s">
        <v>278</v>
      </c>
      <c r="D39" s="37" t="s">
        <v>162</v>
      </c>
      <c r="E39" s="25" t="s">
        <v>279</v>
      </c>
      <c r="F39" s="25" t="s">
        <v>216</v>
      </c>
      <c r="G39" s="26">
        <f>IFERROR(INDEX('The 100'!$L$7:$L$106,MATCH(B39,'The 100'!$A$7:$A$106,0)),"")</f>
        <v>81.6</v>
      </c>
      <c r="H39" s="26">
        <f>IFERROR(INDEX('The 100'!$M$7:$M$106,MATCH(B39,'The 100'!$A$7:$A$106,0)),"")</f>
        <v>7.151515151515151</v>
      </c>
      <c r="I39" s="27"/>
      <c r="J39" s="28" t="str">
        <f>HYPERLINK("#'The 100'!B"&amp;(MATCH(B39,'The 100'!$A$7:$A$106,0)+6),"Open entry")</f>
        <v>Open entry</v>
      </c>
    </row>
    <row r="40" spans="1:10" ht="45" customHeight="1">
      <c r="A40" s="32">
        <v>2012</v>
      </c>
      <c r="B40" s="29">
        <v>97</v>
      </c>
      <c r="C40" s="30" t="s">
        <v>284</v>
      </c>
      <c r="D40" s="38" t="s">
        <v>162</v>
      </c>
      <c r="E40" s="33" t="s">
        <v>285</v>
      </c>
      <c r="F40" s="33" t="s">
        <v>286</v>
      </c>
      <c r="G40" s="34">
        <f>IFERROR(INDEX('The 100'!$L$7:$L$106,MATCH(B40,'The 100'!$A$7:$A$106,0)),"")</f>
        <v>88.4</v>
      </c>
      <c r="H40" s="34">
        <f>IFERROR(INDEX('The 100'!$M$7:$M$106,MATCH(B40,'The 100'!$A$7:$A$106,0)),"")</f>
        <v>7.090909090909091</v>
      </c>
      <c r="I40" s="35"/>
      <c r="J40" s="36" t="str">
        <f>HYPERLINK("#'The 100'!B"&amp;(MATCH(B40,'The 100'!$A$7:$A$106,0)+6),"Open entry")</f>
        <v>Open entry</v>
      </c>
    </row>
    <row r="41" spans="1:10" ht="45" customHeight="1">
      <c r="A41" s="24">
        <v>2013</v>
      </c>
      <c r="B41" s="21">
        <v>5</v>
      </c>
      <c r="C41" s="22" t="s">
        <v>26</v>
      </c>
      <c r="D41" s="23" t="s">
        <v>8</v>
      </c>
      <c r="E41" s="25" t="s">
        <v>27</v>
      </c>
      <c r="F41" s="25" t="s">
        <v>28</v>
      </c>
      <c r="G41" s="26">
        <f>IFERROR(INDEX('The 100'!$L$7:$L$106,MATCH(B41,'The 100'!$A$7:$A$106,0)),"")</f>
        <v>91.66666666666667</v>
      </c>
      <c r="H41" s="26">
        <f>IFERROR(INDEX('The 100'!$M$7:$M$106,MATCH(B41,'The 100'!$A$7:$A$106,0)),"")</f>
        <v>9.878787878787879</v>
      </c>
      <c r="I41" s="27"/>
      <c r="J41" s="28" t="str">
        <f>HYPERLINK("#'The 100'!B"&amp;(MATCH(B41,'The 100'!$A$7:$A$106,0)+6),"Open entry")</f>
        <v>Open entry</v>
      </c>
    </row>
    <row r="42" spans="1:10" ht="45" customHeight="1">
      <c r="A42" s="32">
        <v>2013</v>
      </c>
      <c r="B42" s="29">
        <v>6</v>
      </c>
      <c r="C42" s="30" t="s">
        <v>30</v>
      </c>
      <c r="D42" s="31" t="s">
        <v>8</v>
      </c>
      <c r="E42" s="33" t="s">
        <v>9</v>
      </c>
      <c r="F42" s="33" t="s">
        <v>10</v>
      </c>
      <c r="G42" s="34">
        <f>IFERROR(INDEX('The 100'!$L$7:$L$106,MATCH(B42,'The 100'!$A$7:$A$106,0)),"")</f>
        <v>95.2</v>
      </c>
      <c r="H42" s="34">
        <f>IFERROR(INDEX('The 100'!$M$7:$M$106,MATCH(B42,'The 100'!$A$7:$A$106,0)),"")</f>
        <v>9.848484848484848</v>
      </c>
      <c r="I42" s="35"/>
      <c r="J42" s="36" t="str">
        <f>HYPERLINK("#'The 100'!B"&amp;(MATCH(B42,'The 100'!$A$7:$A$106,0)+6),"Open entry")</f>
        <v>Open entry</v>
      </c>
    </row>
    <row r="43" spans="1:10" ht="45" customHeight="1">
      <c r="A43" s="24">
        <v>2013</v>
      </c>
      <c r="B43" s="21">
        <v>33</v>
      </c>
      <c r="C43" s="22" t="s">
        <v>110</v>
      </c>
      <c r="D43" s="23" t="s">
        <v>8</v>
      </c>
      <c r="E43" s="25" t="s">
        <v>111</v>
      </c>
      <c r="F43" s="25" t="s">
        <v>112</v>
      </c>
      <c r="G43" s="26">
        <f>IFERROR(INDEX('The 100'!$L$7:$L$106,MATCH(B43,'The 100'!$A$7:$A$106,0)),"")</f>
        <v>87.6</v>
      </c>
      <c r="H43" s="26">
        <f>IFERROR(INDEX('The 100'!$M$7:$M$106,MATCH(B43,'The 100'!$A$7:$A$106,0)),"")</f>
        <v>9.030303030303031</v>
      </c>
      <c r="I43" s="27"/>
      <c r="J43" s="28" t="str">
        <f>HYPERLINK("#'The 100'!B"&amp;(MATCH(B43,'The 100'!$A$7:$A$106,0)+6),"Open entry")</f>
        <v>Open entry</v>
      </c>
    </row>
    <row r="44" spans="1:10" ht="45" customHeight="1">
      <c r="A44" s="32">
        <v>2013</v>
      </c>
      <c r="B44" s="29">
        <v>71</v>
      </c>
      <c r="C44" s="30" t="s">
        <v>212</v>
      </c>
      <c r="D44" s="38" t="s">
        <v>162</v>
      </c>
      <c r="E44" s="33" t="s">
        <v>140</v>
      </c>
      <c r="F44" s="33" t="s">
        <v>78</v>
      </c>
      <c r="G44" s="34">
        <f>IFERROR(INDEX('The 100'!$L$7:$L$106,MATCH(B44,'The 100'!$A$7:$A$106,0)),"")</f>
        <v>82.5</v>
      </c>
      <c r="H44" s="34">
        <f>IFERROR(INDEX('The 100'!$M$7:$M$106,MATCH(B44,'The 100'!$A$7:$A$106,0)),"")</f>
        <v>7.878787878787879</v>
      </c>
      <c r="I44" s="35"/>
      <c r="J44" s="36" t="str">
        <f>HYPERLINK("#'The 100'!B"&amp;(MATCH(B44,'The 100'!$A$7:$A$106,0)+6),"Open entry")</f>
        <v>Open entry</v>
      </c>
    </row>
    <row r="45" spans="1:10" ht="45" customHeight="1">
      <c r="A45" s="24">
        <v>2013</v>
      </c>
      <c r="B45" s="21">
        <v>98</v>
      </c>
      <c r="C45" s="22" t="s">
        <v>288</v>
      </c>
      <c r="D45" s="37" t="s">
        <v>162</v>
      </c>
      <c r="E45" s="25" t="s">
        <v>289</v>
      </c>
      <c r="F45" s="25" t="s">
        <v>24</v>
      </c>
      <c r="G45" s="26">
        <f>IFERROR(INDEX('The 100'!$L$7:$L$106,MATCH(B45,'The 100'!$A$7:$A$106,0)),"")</f>
        <v>86.4</v>
      </c>
      <c r="H45" s="26">
        <f>IFERROR(INDEX('The 100'!$M$7:$M$106,MATCH(B45,'The 100'!$A$7:$A$106,0)),"")</f>
        <v>7.0606060606060606</v>
      </c>
      <c r="I45" s="27"/>
      <c r="J45" s="28" t="str">
        <f>HYPERLINK("#'The 100'!B"&amp;(MATCH(B45,'The 100'!$A$7:$A$106,0)+6),"Open entry")</f>
        <v>Open entry</v>
      </c>
    </row>
    <row r="46" spans="1:10" ht="45" customHeight="1">
      <c r="A46" s="32">
        <v>2014</v>
      </c>
      <c r="B46" s="29">
        <v>37</v>
      </c>
      <c r="C46" s="30" t="s">
        <v>122</v>
      </c>
      <c r="D46" s="31" t="s">
        <v>8</v>
      </c>
      <c r="E46" s="33" t="s">
        <v>111</v>
      </c>
      <c r="F46" s="33" t="s">
        <v>123</v>
      </c>
      <c r="G46" s="34">
        <f>IFERROR(INDEX('The 100'!$L$7:$L$106,MATCH(B46,'The 100'!$A$7:$A$106,0)),"")</f>
        <v>82.0</v>
      </c>
      <c r="H46" s="34">
        <f>IFERROR(INDEX('The 100'!$M$7:$M$106,MATCH(B46,'The 100'!$A$7:$A$106,0)),"")</f>
        <v>8.90909090909091</v>
      </c>
      <c r="I46" s="35"/>
      <c r="J46" s="36" t="str">
        <f>HYPERLINK("#'The 100'!B"&amp;(MATCH(B46,'The 100'!$A$7:$A$106,0)+6),"Open entry")</f>
        <v>Open entry</v>
      </c>
    </row>
    <row r="47" spans="1:10" ht="45" customHeight="1">
      <c r="A47" s="24">
        <v>2014</v>
      </c>
      <c r="B47" s="21">
        <v>38</v>
      </c>
      <c r="C47" s="22" t="s">
        <v>125</v>
      </c>
      <c r="D47" s="23" t="s">
        <v>8</v>
      </c>
      <c r="E47" s="25" t="s">
        <v>14</v>
      </c>
      <c r="F47" s="25" t="s">
        <v>19</v>
      </c>
      <c r="G47" s="26">
        <f>IFERROR(INDEX('The 100'!$L$7:$L$106,MATCH(B47,'The 100'!$A$7:$A$106,0)),"")</f>
        <v>87.8</v>
      </c>
      <c r="H47" s="26">
        <f>IFERROR(INDEX('The 100'!$M$7:$M$106,MATCH(B47,'The 100'!$A$7:$A$106,0)),"")</f>
        <v>8.9</v>
      </c>
      <c r="I47" s="27" t="s">
        <v>20</v>
      </c>
      <c r="J47" s="28" t="str">
        <f>HYPERLINK("#'The 100'!B"&amp;(MATCH(B47,'The 100'!$A$7:$A$106,0)+6),"Open entry")</f>
        <v>Open entry</v>
      </c>
    </row>
    <row r="48" spans="1:10" ht="45" customHeight="1">
      <c r="A48" s="32">
        <v>2014</v>
      </c>
      <c r="B48" s="29">
        <v>81</v>
      </c>
      <c r="C48" s="30" t="s">
        <v>239</v>
      </c>
      <c r="D48" s="38" t="s">
        <v>162</v>
      </c>
      <c r="E48" s="33" t="s">
        <v>240</v>
      </c>
      <c r="F48" s="33" t="s">
        <v>216</v>
      </c>
      <c r="G48" s="34">
        <f>IFERROR(INDEX('The 100'!$L$7:$L$106,MATCH(B48,'The 100'!$A$7:$A$106,0)),"")</f>
        <v>84.0</v>
      </c>
      <c r="H48" s="34">
        <f>IFERROR(INDEX('The 100'!$M$7:$M$106,MATCH(B48,'The 100'!$A$7:$A$106,0)),"")</f>
        <v>7.575757575757576</v>
      </c>
      <c r="I48" s="35"/>
      <c r="J48" s="36" t="str">
        <f>HYPERLINK("#'The 100'!B"&amp;(MATCH(B48,'The 100'!$A$7:$A$106,0)+6),"Open entry")</f>
        <v>Open entry</v>
      </c>
    </row>
    <row r="49" spans="1:10" ht="45" customHeight="1">
      <c r="A49" s="24">
        <v>2015</v>
      </c>
      <c r="B49" s="21">
        <v>3</v>
      </c>
      <c r="C49" s="22" t="s">
        <v>17</v>
      </c>
      <c r="D49" s="23" t="s">
        <v>8</v>
      </c>
      <c r="E49" s="25" t="s">
        <v>18</v>
      </c>
      <c r="F49" s="25" t="s">
        <v>19</v>
      </c>
      <c r="G49" s="26">
        <f>IFERROR(INDEX('The 100'!$L$7:$L$106,MATCH(B49,'The 100'!$A$7:$A$106,0)),"")</f>
        <v>92.0</v>
      </c>
      <c r="H49" s="26">
        <f>IFERROR(INDEX('The 100'!$M$7:$M$106,MATCH(B49,'The 100'!$A$7:$A$106,0)),"")</f>
        <v>9.9</v>
      </c>
      <c r="I49" s="27" t="s">
        <v>20</v>
      </c>
      <c r="J49" s="28" t="str">
        <f>HYPERLINK("#'The 100'!B"&amp;(MATCH(B49,'The 100'!$A$7:$A$106,0)+6),"Open entry")</f>
        <v>Open entry</v>
      </c>
    </row>
    <row r="50" spans="1:10" ht="45" customHeight="1">
      <c r="A50" s="32">
        <v>2015</v>
      </c>
      <c r="B50" s="29">
        <v>45</v>
      </c>
      <c r="C50" s="30" t="s">
        <v>146</v>
      </c>
      <c r="D50" s="31" t="s">
        <v>8</v>
      </c>
      <c r="E50" s="33" t="s">
        <v>147</v>
      </c>
      <c r="F50" s="33" t="s">
        <v>144</v>
      </c>
      <c r="G50" s="34">
        <f>IFERROR(INDEX('The 100'!$L$7:$L$106,MATCH(B50,'The 100'!$A$7:$A$106,0)),"")</f>
        <v>91.0</v>
      </c>
      <c r="H50" s="34">
        <f>IFERROR(INDEX('The 100'!$M$7:$M$106,MATCH(B50,'The 100'!$A$7:$A$106,0)),"")</f>
        <v>8.666666666666666</v>
      </c>
      <c r="I50" s="35"/>
      <c r="J50" s="36" t="str">
        <f>HYPERLINK("#'The 100'!B"&amp;(MATCH(B50,'The 100'!$A$7:$A$106,0)+6),"Open entry")</f>
        <v>Open entry</v>
      </c>
    </row>
    <row r="51" spans="1:10" ht="45" customHeight="1">
      <c r="A51" s="24">
        <v>2015</v>
      </c>
      <c r="B51" s="21">
        <v>72</v>
      </c>
      <c r="C51" s="22" t="s">
        <v>214</v>
      </c>
      <c r="D51" s="37" t="s">
        <v>162</v>
      </c>
      <c r="E51" s="25" t="s">
        <v>215</v>
      </c>
      <c r="F51" s="25" t="s">
        <v>216</v>
      </c>
      <c r="G51" s="26">
        <f>IFERROR(INDEX('The 100'!$L$7:$L$106,MATCH(B51,'The 100'!$A$7:$A$106,0)),"")</f>
        <v>96.2</v>
      </c>
      <c r="H51" s="26">
        <f>IFERROR(INDEX('The 100'!$M$7:$M$106,MATCH(B51,'The 100'!$A$7:$A$106,0)),"")</f>
        <v>7.848484848484849</v>
      </c>
      <c r="I51" s="27"/>
      <c r="J51" s="28" t="str">
        <f>HYPERLINK("#'The 100'!B"&amp;(MATCH(B51,'The 100'!$A$7:$A$106,0)+6),"Open entry")</f>
        <v>Open entry</v>
      </c>
    </row>
    <row r="52" spans="1:10" ht="45" customHeight="1">
      <c r="A52" s="32">
        <v>2015</v>
      </c>
      <c r="B52" s="29">
        <v>96</v>
      </c>
      <c r="C52" s="30" t="s">
        <v>281</v>
      </c>
      <c r="D52" s="38" t="s">
        <v>162</v>
      </c>
      <c r="E52" s="33" t="s">
        <v>282</v>
      </c>
      <c r="F52" s="33" t="s">
        <v>216</v>
      </c>
      <c r="G52" s="34">
        <f>IFERROR(INDEX('The 100'!$L$7:$L$106,MATCH(B52,'The 100'!$A$7:$A$106,0)),"")</f>
        <v>74.6</v>
      </c>
      <c r="H52" s="34">
        <f>IFERROR(INDEX('The 100'!$M$7:$M$106,MATCH(B52,'The 100'!$A$7:$A$106,0)),"")</f>
        <v>7.121212121212121</v>
      </c>
      <c r="I52" s="35"/>
      <c r="J52" s="36" t="str">
        <f>HYPERLINK("#'The 100'!B"&amp;(MATCH(B52,'The 100'!$A$7:$A$106,0)+6),"Open entry")</f>
        <v>Open entry</v>
      </c>
    </row>
    <row r="53" spans="1:10" ht="45" customHeight="1">
      <c r="A53" s="24">
        <v>2015</v>
      </c>
      <c r="B53" s="21">
        <v>99</v>
      </c>
      <c r="C53" s="22" t="s">
        <v>291</v>
      </c>
      <c r="D53" s="37" t="s">
        <v>162</v>
      </c>
      <c r="E53" s="25" t="s">
        <v>289</v>
      </c>
      <c r="F53" s="25" t="s">
        <v>24</v>
      </c>
      <c r="G53" s="26">
        <f>IFERROR(INDEX('The 100'!$L$7:$L$106,MATCH(B53,'The 100'!$A$7:$A$106,0)),"")</f>
        <v>87.0</v>
      </c>
      <c r="H53" s="26">
        <f>IFERROR(INDEX('The 100'!$M$7:$M$106,MATCH(B53,'The 100'!$A$7:$A$106,0)),"")</f>
        <v>7.03030303030303</v>
      </c>
      <c r="I53" s="27"/>
      <c r="J53" s="28" t="str">
        <f>HYPERLINK("#'The 100'!B"&amp;(MATCH(B53,'The 100'!$A$7:$A$106,0)+6),"Open entry")</f>
        <v>Open entry</v>
      </c>
    </row>
    <row r="54" spans="1:10" ht="45" customHeight="1">
      <c r="A54" s="32">
        <v>2016</v>
      </c>
      <c r="B54" s="29">
        <v>16</v>
      </c>
      <c r="C54" s="30" t="s">
        <v>60</v>
      </c>
      <c r="D54" s="31" t="s">
        <v>8</v>
      </c>
      <c r="E54" s="33" t="s">
        <v>27</v>
      </c>
      <c r="F54" s="33" t="s">
        <v>24</v>
      </c>
      <c r="G54" s="34">
        <f>IFERROR(INDEX('The 100'!$L$7:$L$106,MATCH(B54,'The 100'!$A$7:$A$106,0)),"")</f>
        <v>96.5</v>
      </c>
      <c r="H54" s="34">
        <f>IFERROR(INDEX('The 100'!$M$7:$M$106,MATCH(B54,'The 100'!$A$7:$A$106,0)),"")</f>
        <v>9.545454545454545</v>
      </c>
      <c r="I54" s="35"/>
      <c r="J54" s="36" t="str">
        <f>HYPERLINK("#'The 100'!B"&amp;(MATCH(B54,'The 100'!$A$7:$A$106,0)+6),"Open entry")</f>
        <v>Open entry</v>
      </c>
    </row>
    <row r="55" spans="1:10" ht="45" customHeight="1">
      <c r="A55" s="24">
        <v>2016</v>
      </c>
      <c r="B55" s="21">
        <v>42</v>
      </c>
      <c r="C55" s="22" t="s">
        <v>136</v>
      </c>
      <c r="D55" s="23" t="s">
        <v>8</v>
      </c>
      <c r="E55" s="25" t="s">
        <v>137</v>
      </c>
      <c r="F55" s="25" t="s">
        <v>78</v>
      </c>
      <c r="G55" s="26">
        <f>IFERROR(INDEX('The 100'!$L$7:$L$106,MATCH(B55,'The 100'!$A$7:$A$106,0)),"")</f>
        <v>88.8</v>
      </c>
      <c r="H55" s="26">
        <f>IFERROR(INDEX('The 100'!$M$7:$M$106,MATCH(B55,'The 100'!$A$7:$A$106,0)),"")</f>
        <v>8.757575757575758</v>
      </c>
      <c r="I55" s="27"/>
      <c r="J55" s="28" t="str">
        <f>HYPERLINK("#'The 100'!B"&amp;(MATCH(B55,'The 100'!$A$7:$A$106,0)+6),"Open entry")</f>
        <v>Open entry</v>
      </c>
    </row>
    <row r="56" spans="1:10" ht="45" customHeight="1">
      <c r="A56" s="32">
        <v>2016</v>
      </c>
      <c r="B56" s="29">
        <v>57</v>
      </c>
      <c r="C56" s="30" t="s">
        <v>178</v>
      </c>
      <c r="D56" s="38" t="s">
        <v>162</v>
      </c>
      <c r="E56" s="33" t="s">
        <v>174</v>
      </c>
      <c r="F56" s="33" t="s">
        <v>58</v>
      </c>
      <c r="G56" s="34">
        <f>IFERROR(INDEX('The 100'!$L$7:$L$106,MATCH(B56,'The 100'!$A$7:$A$106,0)),"")</f>
        <v>82.0</v>
      </c>
      <c r="H56" s="34">
        <f>IFERROR(INDEX('The 100'!$M$7:$M$106,MATCH(B56,'The 100'!$A$7:$A$106,0)),"")</f>
        <v>8.303030303030303</v>
      </c>
      <c r="I56" s="35"/>
      <c r="J56" s="36" t="str">
        <f>HYPERLINK("#'The 100'!B"&amp;(MATCH(B56,'The 100'!$A$7:$A$106,0)+6),"Open entry")</f>
        <v>Open entry</v>
      </c>
    </row>
    <row r="57" spans="1:10" ht="45" customHeight="1">
      <c r="A57" s="24">
        <v>2016</v>
      </c>
      <c r="B57" s="21">
        <v>65</v>
      </c>
      <c r="C57" s="22" t="s">
        <v>198</v>
      </c>
      <c r="D57" s="37" t="s">
        <v>162</v>
      </c>
      <c r="E57" s="25" t="s">
        <v>186</v>
      </c>
      <c r="F57" s="25" t="s">
        <v>199</v>
      </c>
      <c r="G57" s="26">
        <f>IFERROR(INDEX('The 100'!$L$7:$L$106,MATCH(B57,'The 100'!$A$7:$A$106,0)),"")</f>
        <v>91.4</v>
      </c>
      <c r="H57" s="26">
        <f>IFERROR(INDEX('The 100'!$M$7:$M$106,MATCH(B57,'The 100'!$A$7:$A$106,0)),"")</f>
        <v>8.06060606060606</v>
      </c>
      <c r="I57" s="27"/>
      <c r="J57" s="28" t="str">
        <f>HYPERLINK("#'The 100'!B"&amp;(MATCH(B57,'The 100'!$A$7:$A$106,0)+6),"Open entry")</f>
        <v>Open entry</v>
      </c>
    </row>
    <row r="58" spans="1:10" ht="45" customHeight="1">
      <c r="A58" s="32">
        <v>2016</v>
      </c>
      <c r="B58" s="29">
        <v>69</v>
      </c>
      <c r="C58" s="30" t="s">
        <v>208</v>
      </c>
      <c r="D58" s="38" t="s">
        <v>162</v>
      </c>
      <c r="E58" s="33" t="s">
        <v>140</v>
      </c>
      <c r="F58" s="33" t="s">
        <v>78</v>
      </c>
      <c r="G58" s="34">
        <f>IFERROR(INDEX('The 100'!$L$7:$L$106,MATCH(B58,'The 100'!$A$7:$A$106,0)),"")</f>
        <v>86.0</v>
      </c>
      <c r="H58" s="34">
        <f>IFERROR(INDEX('The 100'!$M$7:$M$106,MATCH(B58,'The 100'!$A$7:$A$106,0)),"")</f>
        <v>7.9393939393939394</v>
      </c>
      <c r="I58" s="35"/>
      <c r="J58" s="36" t="str">
        <f>HYPERLINK("#'The 100'!B"&amp;(MATCH(B58,'The 100'!$A$7:$A$106,0)+6),"Open entry")</f>
        <v>Open entry</v>
      </c>
    </row>
    <row r="59" spans="1:10" ht="45" customHeight="1">
      <c r="A59" s="24">
        <v>2016</v>
      </c>
      <c r="B59" s="21">
        <v>73</v>
      </c>
      <c r="C59" s="22" t="s">
        <v>218</v>
      </c>
      <c r="D59" s="37" t="s">
        <v>162</v>
      </c>
      <c r="E59" s="25" t="s">
        <v>219</v>
      </c>
      <c r="F59" s="25" t="s">
        <v>220</v>
      </c>
      <c r="G59" s="26">
        <f>IFERROR(INDEX('The 100'!$L$7:$L$106,MATCH(B59,'The 100'!$A$7:$A$106,0)),"")</f>
        <v>85.4</v>
      </c>
      <c r="H59" s="26">
        <f>IFERROR(INDEX('The 100'!$M$7:$M$106,MATCH(B59,'The 100'!$A$7:$A$106,0)),"")</f>
        <v>7.818181818181818</v>
      </c>
      <c r="I59" s="27"/>
      <c r="J59" s="28" t="str">
        <f>HYPERLINK("#'The 100'!B"&amp;(MATCH(B59,'The 100'!$A$7:$A$106,0)+6),"Open entry")</f>
        <v>Open entry</v>
      </c>
    </row>
    <row r="60" spans="1:10" ht="45" customHeight="1">
      <c r="A60" s="32">
        <v>2016</v>
      </c>
      <c r="B60" s="29">
        <v>74</v>
      </c>
      <c r="C60" s="30" t="s">
        <v>222</v>
      </c>
      <c r="D60" s="38" t="s">
        <v>162</v>
      </c>
      <c r="E60" s="33" t="s">
        <v>115</v>
      </c>
      <c r="F60" s="33" t="s">
        <v>116</v>
      </c>
      <c r="G60" s="34">
        <f>IFERROR(INDEX('The 100'!$L$7:$L$106,MATCH(B60,'The 100'!$A$7:$A$106,0)),"")</f>
        <v>88.8</v>
      </c>
      <c r="H60" s="34">
        <f>IFERROR(INDEX('The 100'!$M$7:$M$106,MATCH(B60,'The 100'!$A$7:$A$106,0)),"")</f>
        <v>7.787878787878787</v>
      </c>
      <c r="I60" s="35"/>
      <c r="J60" s="36" t="str">
        <f>HYPERLINK("#'The 100'!B"&amp;(MATCH(B60,'The 100'!$A$7:$A$106,0)+6),"Open entry")</f>
        <v>Open entry</v>
      </c>
    </row>
    <row r="61" spans="1:10" ht="45" customHeight="1">
      <c r="A61" s="24">
        <v>2016</v>
      </c>
      <c r="B61" s="21">
        <v>89</v>
      </c>
      <c r="C61" s="22" t="s">
        <v>263</v>
      </c>
      <c r="D61" s="37" t="s">
        <v>162</v>
      </c>
      <c r="E61" s="25" t="s">
        <v>264</v>
      </c>
      <c r="F61" s="25" t="s">
        <v>265</v>
      </c>
      <c r="G61" s="26">
        <f>IFERROR(INDEX('The 100'!$L$7:$L$106,MATCH(B61,'The 100'!$A$7:$A$106,0)),"")</f>
        <v>72.2</v>
      </c>
      <c r="H61" s="26">
        <f>IFERROR(INDEX('The 100'!$M$7:$M$106,MATCH(B61,'The 100'!$A$7:$A$106,0)),"")</f>
        <v>7.333333333333333</v>
      </c>
      <c r="I61" s="27"/>
      <c r="J61" s="28" t="str">
        <f>HYPERLINK("#'The 100'!B"&amp;(MATCH(B61,'The 100'!$A$7:$A$106,0)+6),"Open entry")</f>
        <v>Open entry</v>
      </c>
    </row>
    <row r="62" spans="1:10" ht="45" customHeight="1">
      <c r="A62" s="32">
        <v>2016</v>
      </c>
      <c r="B62" s="29">
        <v>94</v>
      </c>
      <c r="C62" s="30" t="s">
        <v>276</v>
      </c>
      <c r="D62" s="38" t="s">
        <v>162</v>
      </c>
      <c r="E62" s="33" t="s">
        <v>111</v>
      </c>
      <c r="F62" s="33" t="s">
        <v>216</v>
      </c>
      <c r="G62" s="34">
        <f>IFERROR(INDEX('The 100'!$L$7:$L$106,MATCH(B62,'The 100'!$A$7:$A$106,0)),"")</f>
        <v>81.6</v>
      </c>
      <c r="H62" s="34">
        <f>IFERROR(INDEX('The 100'!$M$7:$M$106,MATCH(B62,'The 100'!$A$7:$A$106,0)),"")</f>
        <v>7.181818181818182</v>
      </c>
      <c r="I62" s="35"/>
      <c r="J62" s="36" t="str">
        <f>HYPERLINK("#'The 100'!B"&amp;(MATCH(B62,'The 100'!$A$7:$A$106,0)+6),"Open entry")</f>
        <v>Open entry</v>
      </c>
    </row>
    <row r="63" spans="1:10" ht="45" customHeight="1">
      <c r="A63" s="24">
        <v>2017</v>
      </c>
      <c r="B63" s="21">
        <v>43</v>
      </c>
      <c r="C63" s="22" t="s">
        <v>139</v>
      </c>
      <c r="D63" s="23" t="s">
        <v>8</v>
      </c>
      <c r="E63" s="25" t="s">
        <v>140</v>
      </c>
      <c r="F63" s="25" t="s">
        <v>85</v>
      </c>
      <c r="G63" s="26">
        <f>IFERROR(INDEX('The 100'!$L$7:$L$106,MATCH(B63,'The 100'!$A$7:$A$106,0)),"")</f>
        <v>75.2</v>
      </c>
      <c r="H63" s="26">
        <f>IFERROR(INDEX('The 100'!$M$7:$M$106,MATCH(B63,'The 100'!$A$7:$A$106,0)),"")</f>
        <v>8.727272727272727</v>
      </c>
      <c r="I63" s="27"/>
      <c r="J63" s="28" t="str">
        <f>HYPERLINK("#'The 100'!B"&amp;(MATCH(B63,'The 100'!$A$7:$A$106,0)+6),"Open entry")</f>
        <v>Open entry</v>
      </c>
    </row>
    <row r="64" spans="1:10" ht="45" customHeight="1">
      <c r="A64" s="32">
        <v>2017</v>
      </c>
      <c r="B64" s="29">
        <v>48</v>
      </c>
      <c r="C64" s="30" t="s">
        <v>153</v>
      </c>
      <c r="D64" s="31" t="s">
        <v>8</v>
      </c>
      <c r="E64" s="33" t="s">
        <v>154</v>
      </c>
      <c r="F64" s="33" t="s">
        <v>58</v>
      </c>
      <c r="G64" s="34">
        <f>IFERROR(INDEX('The 100'!$L$7:$L$106,MATCH(B64,'The 100'!$A$7:$A$106,0)),"")</f>
        <v>88.2</v>
      </c>
      <c r="H64" s="34">
        <f>IFERROR(INDEX('The 100'!$M$7:$M$106,MATCH(B64,'The 100'!$A$7:$A$106,0)),"")</f>
        <v>8.6</v>
      </c>
      <c r="I64" s="35" t="s">
        <v>20</v>
      </c>
      <c r="J64" s="36" t="str">
        <f>HYPERLINK("#'The 100'!B"&amp;(MATCH(B64,'The 100'!$A$7:$A$106,0)+6),"Open entry")</f>
        <v>Open entry</v>
      </c>
    </row>
    <row r="65" spans="1:10" ht="45" customHeight="1">
      <c r="A65" s="24">
        <v>2017</v>
      </c>
      <c r="B65" s="21">
        <v>59</v>
      </c>
      <c r="C65" s="22" t="s">
        <v>182</v>
      </c>
      <c r="D65" s="37" t="s">
        <v>162</v>
      </c>
      <c r="E65" s="25" t="s">
        <v>183</v>
      </c>
      <c r="F65" s="25" t="s">
        <v>144</v>
      </c>
      <c r="G65" s="26">
        <f>IFERROR(INDEX('The 100'!$L$7:$L$106,MATCH(B65,'The 100'!$A$7:$A$106,0)),"")</f>
        <v>84.75</v>
      </c>
      <c r="H65" s="26">
        <f>IFERROR(INDEX('The 100'!$M$7:$M$106,MATCH(B65,'The 100'!$A$7:$A$106,0)),"")</f>
        <v>8.242424242424242</v>
      </c>
      <c r="I65" s="27"/>
      <c r="J65" s="28" t="str">
        <f>HYPERLINK("#'The 100'!B"&amp;(MATCH(B65,'The 100'!$A$7:$A$106,0)+6),"Open entry")</f>
        <v>Open entry</v>
      </c>
    </row>
    <row r="66" spans="1:10" ht="45" customHeight="1">
      <c r="A66" s="32">
        <v>2017</v>
      </c>
      <c r="B66" s="29">
        <v>75</v>
      </c>
      <c r="C66" s="30" t="s">
        <v>224</v>
      </c>
      <c r="D66" s="38" t="s">
        <v>162</v>
      </c>
      <c r="E66" s="33" t="s">
        <v>115</v>
      </c>
      <c r="F66" s="33" t="s">
        <v>225</v>
      </c>
      <c r="G66" s="34">
        <f>IFERROR(INDEX('The 100'!$L$7:$L$106,MATCH(B66,'The 100'!$A$7:$A$106,0)),"")</f>
        <v>82.0</v>
      </c>
      <c r="H66" s="34">
        <f>IFERROR(INDEX('The 100'!$M$7:$M$106,MATCH(B66,'The 100'!$A$7:$A$106,0)),"")</f>
        <v>7.757575757575758</v>
      </c>
      <c r="I66" s="35"/>
      <c r="J66" s="36" t="str">
        <f>HYPERLINK("#'The 100'!B"&amp;(MATCH(B66,'The 100'!$A$7:$A$106,0)+6),"Open entry")</f>
        <v>Open entry</v>
      </c>
    </row>
    <row r="67" spans="1:10" ht="45" customHeight="1">
      <c r="A67" s="24">
        <v>2017</v>
      </c>
      <c r="B67" s="21">
        <v>76</v>
      </c>
      <c r="C67" s="22" t="s">
        <v>227</v>
      </c>
      <c r="D67" s="37" t="s">
        <v>162</v>
      </c>
      <c r="E67" s="25" t="s">
        <v>228</v>
      </c>
      <c r="F67" s="25" t="s">
        <v>132</v>
      </c>
      <c r="G67" s="26">
        <f>IFERROR(INDEX('The 100'!$L$7:$L$106,MATCH(B67,'The 100'!$A$7:$A$106,0)),"")</f>
        <v>80.4</v>
      </c>
      <c r="H67" s="26">
        <f>IFERROR(INDEX('The 100'!$M$7:$M$106,MATCH(B67,'The 100'!$A$7:$A$106,0)),"")</f>
        <v>7.727272727272727</v>
      </c>
      <c r="I67" s="27"/>
      <c r="J67" s="28" t="str">
        <f>HYPERLINK("#'The 100'!B"&amp;(MATCH(B67,'The 100'!$A$7:$A$106,0)+6),"Open entry")</f>
        <v>Open entry</v>
      </c>
    </row>
    <row r="68" spans="1:10" ht="45" customHeight="1">
      <c r="A68" s="32">
        <v>2017</v>
      </c>
      <c r="B68" s="29">
        <v>77</v>
      </c>
      <c r="C68" s="30" t="s">
        <v>230</v>
      </c>
      <c r="D68" s="38" t="s">
        <v>162</v>
      </c>
      <c r="E68" s="33" t="s">
        <v>90</v>
      </c>
      <c r="F68" s="33" t="s">
        <v>132</v>
      </c>
      <c r="G68" s="34">
        <f>IFERROR(INDEX('The 100'!$L$7:$L$106,MATCH(B68,'The 100'!$A$7:$A$106,0)),"")</f>
        <v>83.6</v>
      </c>
      <c r="H68" s="34">
        <f>IFERROR(INDEX('The 100'!$M$7:$M$106,MATCH(B68,'The 100'!$A$7:$A$106,0)),"")</f>
        <v>7.696969696969697</v>
      </c>
      <c r="I68" s="35"/>
      <c r="J68" s="36" t="str">
        <f>HYPERLINK("#'The 100'!B"&amp;(MATCH(B68,'The 100'!$A$7:$A$106,0)+6),"Open entry")</f>
        <v>Open entry</v>
      </c>
    </row>
    <row r="69" spans="1:10" ht="45" customHeight="1">
      <c r="A69" s="24">
        <v>2017</v>
      </c>
      <c r="B69" s="21">
        <v>82</v>
      </c>
      <c r="C69" s="22" t="s">
        <v>242</v>
      </c>
      <c r="D69" s="37" t="s">
        <v>162</v>
      </c>
      <c r="E69" s="25" t="s">
        <v>240</v>
      </c>
      <c r="F69" s="25" t="s">
        <v>216</v>
      </c>
      <c r="G69" s="26">
        <f>IFERROR(INDEX('The 100'!$L$7:$L$106,MATCH(B69,'The 100'!$A$7:$A$106,0)),"")</f>
        <v>79.2</v>
      </c>
      <c r="H69" s="26">
        <f>IFERROR(INDEX('The 100'!$M$7:$M$106,MATCH(B69,'The 100'!$A$7:$A$106,0)),"")</f>
        <v>7.545454545454545</v>
      </c>
      <c r="I69" s="27"/>
      <c r="J69" s="28" t="str">
        <f>HYPERLINK("#'The 100'!B"&amp;(MATCH(B69,'The 100'!$A$7:$A$106,0)+6),"Open entry")</f>
        <v>Open entry</v>
      </c>
    </row>
    <row r="70" spans="1:10" ht="45" customHeight="1">
      <c r="A70" s="32">
        <v>2017</v>
      </c>
      <c r="B70" s="29">
        <v>91</v>
      </c>
      <c r="C70" s="30" t="s">
        <v>269</v>
      </c>
      <c r="D70" s="38" t="s">
        <v>162</v>
      </c>
      <c r="E70" s="33" t="s">
        <v>111</v>
      </c>
      <c r="F70" s="33" t="s">
        <v>58</v>
      </c>
      <c r="G70" s="34">
        <f>IFERROR(INDEX('The 100'!$L$7:$L$106,MATCH(B70,'The 100'!$A$7:$A$106,0)),"")</f>
        <v>81.4</v>
      </c>
      <c r="H70" s="34">
        <f>IFERROR(INDEX('The 100'!$M$7:$M$106,MATCH(B70,'The 100'!$A$7:$A$106,0)),"")</f>
        <v>7.2727272727272725</v>
      </c>
      <c r="I70" s="35"/>
      <c r="J70" s="36" t="str">
        <f>HYPERLINK("#'The 100'!B"&amp;(MATCH(B70,'The 100'!$A$7:$A$106,0)+6),"Open entry")</f>
        <v>Open entry</v>
      </c>
    </row>
    <row r="71" spans="1:10" ht="45" customHeight="1">
      <c r="A71" s="24">
        <v>2018</v>
      </c>
      <c r="B71" s="21">
        <v>1</v>
      </c>
      <c r="C71" s="22" t="s">
        <v>7</v>
      </c>
      <c r="D71" s="23" t="s">
        <v>8</v>
      </c>
      <c r="E71" s="25" t="s">
        <v>9</v>
      </c>
      <c r="F71" s="25" t="s">
        <v>10</v>
      </c>
      <c r="G71" s="26">
        <f>IFERROR(INDEX('The 100'!$L$7:$L$106,MATCH(B71,'The 100'!$A$7:$A$106,0)),"")</f>
        <v>95.0</v>
      </c>
      <c r="H71" s="26">
        <f>IFERROR(INDEX('The 100'!$M$7:$M$106,MATCH(B71,'The 100'!$A$7:$A$106,0)),"")</f>
        <v>10</v>
      </c>
      <c r="I71" s="27"/>
      <c r="J71" s="28" t="str">
        <f>HYPERLINK("#'The 100'!B"&amp;(MATCH(B71,'The 100'!$A$7:$A$106,0)+6),"Open entry")</f>
        <v>Open entry</v>
      </c>
    </row>
    <row r="72" spans="1:10" ht="45" customHeight="1">
      <c r="A72" s="32">
        <v>2018</v>
      </c>
      <c r="B72" s="29">
        <v>4</v>
      </c>
      <c r="C72" s="30" t="s">
        <v>22</v>
      </c>
      <c r="D72" s="31" t="s">
        <v>8</v>
      </c>
      <c r="E72" s="33" t="s">
        <v>23</v>
      </c>
      <c r="F72" s="33" t="s">
        <v>24</v>
      </c>
      <c r="G72" s="34">
        <f>IFERROR(INDEX('The 100'!$L$7:$L$106,MATCH(B72,'The 100'!$A$7:$A$106,0)),"")</f>
        <v>92.8</v>
      </c>
      <c r="H72" s="34">
        <f>IFERROR(INDEX('The 100'!$M$7:$M$106,MATCH(B72,'The 100'!$A$7:$A$106,0)),"")</f>
        <v>9.909090909090908</v>
      </c>
      <c r="I72" s="35"/>
      <c r="J72" s="36" t="str">
        <f>HYPERLINK("#'The 100'!B"&amp;(MATCH(B72,'The 100'!$A$7:$A$106,0)+6),"Open entry")</f>
        <v>Open entry</v>
      </c>
    </row>
    <row r="73" spans="1:10" ht="45" customHeight="1">
      <c r="A73" s="24">
        <v>2018</v>
      </c>
      <c r="B73" s="21">
        <v>92</v>
      </c>
      <c r="C73" s="22" t="s">
        <v>271</v>
      </c>
      <c r="D73" s="37" t="s">
        <v>162</v>
      </c>
      <c r="E73" s="25" t="s">
        <v>272</v>
      </c>
      <c r="F73" s="25" t="s">
        <v>58</v>
      </c>
      <c r="G73" s="26">
        <f>IFERROR(INDEX('The 100'!$L$7:$L$106,MATCH(B73,'The 100'!$A$7:$A$106,0)),"")</f>
        <v>83.0</v>
      </c>
      <c r="H73" s="26">
        <f>IFERROR(INDEX('The 100'!$M$7:$M$106,MATCH(B73,'The 100'!$A$7:$A$106,0)),"")</f>
        <v>7.242424242424242</v>
      </c>
      <c r="I73" s="27"/>
      <c r="J73" s="28" t="str">
        <f>HYPERLINK("#'The 100'!B"&amp;(MATCH(B73,'The 100'!$A$7:$A$106,0)+6),"Open entry")</f>
        <v>Open entry</v>
      </c>
    </row>
    <row r="74" spans="1:10" ht="45" customHeight="1">
      <c r="A74" s="32">
        <v>2019</v>
      </c>
      <c r="B74" s="29">
        <v>29</v>
      </c>
      <c r="C74" s="30" t="s">
        <v>96</v>
      </c>
      <c r="D74" s="31" t="s">
        <v>8</v>
      </c>
      <c r="E74" s="33" t="s">
        <v>97</v>
      </c>
      <c r="F74" s="33" t="s">
        <v>24</v>
      </c>
      <c r="G74" s="34">
        <f>IFERROR(INDEX('The 100'!$L$7:$L$106,MATCH(B74,'The 100'!$A$7:$A$106,0)),"")</f>
        <v>84.6</v>
      </c>
      <c r="H74" s="34">
        <f>IFERROR(INDEX('The 100'!$M$7:$M$106,MATCH(B74,'The 100'!$A$7:$A$106,0)),"")</f>
        <v>9.151515151515152</v>
      </c>
      <c r="I74" s="35"/>
      <c r="J74" s="36" t="str">
        <f>HYPERLINK("#'The 100'!B"&amp;(MATCH(B74,'The 100'!$A$7:$A$106,0)+6),"Open entry")</f>
        <v>Open entry</v>
      </c>
    </row>
    <row r="75" spans="1:10" ht="45" customHeight="1">
      <c r="A75" s="24">
        <v>2019</v>
      </c>
      <c r="B75" s="21">
        <v>39</v>
      </c>
      <c r="C75" s="22" t="s">
        <v>127</v>
      </c>
      <c r="D75" s="23" t="s">
        <v>8</v>
      </c>
      <c r="E75" s="25" t="s">
        <v>128</v>
      </c>
      <c r="F75" s="25" t="s">
        <v>129</v>
      </c>
      <c r="G75" s="26">
        <f>IFERROR(INDEX('The 100'!$L$7:$L$106,MATCH(B75,'The 100'!$A$7:$A$106,0)),"")</f>
        <v>81.2</v>
      </c>
      <c r="H75" s="26">
        <f>IFERROR(INDEX('The 100'!$M$7:$M$106,MATCH(B75,'The 100'!$A$7:$A$106,0)),"")</f>
        <v>8.848484848484848</v>
      </c>
      <c r="I75" s="27"/>
      <c r="J75" s="28" t="str">
        <f>HYPERLINK("#'The 100'!B"&amp;(MATCH(B75,'The 100'!$A$7:$A$106,0)+6),"Open entry")</f>
        <v>Open entry</v>
      </c>
    </row>
    <row r="76" spans="1:10" ht="45" customHeight="1">
      <c r="A76" s="32">
        <v>2019</v>
      </c>
      <c r="B76" s="29">
        <v>40</v>
      </c>
      <c r="C76" s="30" t="s">
        <v>131</v>
      </c>
      <c r="D76" s="31" t="s">
        <v>8</v>
      </c>
      <c r="E76" s="33" t="s">
        <v>90</v>
      </c>
      <c r="F76" s="33" t="s">
        <v>132</v>
      </c>
      <c r="G76" s="34">
        <f>IFERROR(INDEX('The 100'!$L$7:$L$106,MATCH(B76,'The 100'!$A$7:$A$106,0)),"")</f>
        <v>90.4</v>
      </c>
      <c r="H76" s="34">
        <f>IFERROR(INDEX('The 100'!$M$7:$M$106,MATCH(B76,'The 100'!$A$7:$A$106,0)),"")</f>
        <v>8.818181818181818</v>
      </c>
      <c r="I76" s="35"/>
      <c r="J76" s="36" t="str">
        <f>HYPERLINK("#'The 100'!B"&amp;(MATCH(B76,'The 100'!$A$7:$A$106,0)+6),"Open entry")</f>
        <v>Open entry</v>
      </c>
    </row>
    <row r="77" spans="1:10" ht="45" customHeight="1">
      <c r="A77" s="24">
        <v>2019</v>
      </c>
      <c r="B77" s="21">
        <v>44</v>
      </c>
      <c r="C77" s="22" t="s">
        <v>142</v>
      </c>
      <c r="D77" s="23" t="s">
        <v>8</v>
      </c>
      <c r="E77" s="25" t="s">
        <v>143</v>
      </c>
      <c r="F77" s="25" t="s">
        <v>144</v>
      </c>
      <c r="G77" s="26">
        <f>IFERROR(INDEX('The 100'!$L$7:$L$106,MATCH(B77,'The 100'!$A$7:$A$106,0)),"")</f>
        <v>90.0</v>
      </c>
      <c r="H77" s="26">
        <f>IFERROR(INDEX('The 100'!$M$7:$M$106,MATCH(B77,'The 100'!$A$7:$A$106,0)),"")</f>
        <v>8.696969696969697</v>
      </c>
      <c r="I77" s="27"/>
      <c r="J77" s="28" t="str">
        <f>HYPERLINK("#'The 100'!B"&amp;(MATCH(B77,'The 100'!$A$7:$A$106,0)+6),"Open entry")</f>
        <v>Open entry</v>
      </c>
    </row>
    <row r="78" spans="1:10" ht="45" customHeight="1">
      <c r="A78" s="32">
        <v>2019</v>
      </c>
      <c r="B78" s="29">
        <v>47</v>
      </c>
      <c r="C78" s="30" t="s">
        <v>151</v>
      </c>
      <c r="D78" s="31" t="s">
        <v>8</v>
      </c>
      <c r="E78" s="33" t="s">
        <v>137</v>
      </c>
      <c r="F78" s="33" t="s">
        <v>24</v>
      </c>
      <c r="G78" s="34">
        <f>IFERROR(INDEX('The 100'!$L$7:$L$106,MATCH(B78,'The 100'!$A$7:$A$106,0)),"")</f>
        <v>84.4</v>
      </c>
      <c r="H78" s="34">
        <f>IFERROR(INDEX('The 100'!$M$7:$M$106,MATCH(B78,'The 100'!$A$7:$A$106,0)),"")</f>
        <v>8.606060606060606</v>
      </c>
      <c r="I78" s="35"/>
      <c r="J78" s="36" t="str">
        <f>HYPERLINK("#'The 100'!B"&amp;(MATCH(B78,'The 100'!$A$7:$A$106,0)+6),"Open entry")</f>
        <v>Open entry</v>
      </c>
    </row>
    <row r="79" spans="1:10" ht="45" customHeight="1">
      <c r="A79" s="24">
        <v>2019</v>
      </c>
      <c r="B79" s="21">
        <v>53</v>
      </c>
      <c r="C79" s="22" t="s">
        <v>167</v>
      </c>
      <c r="D79" s="37" t="s">
        <v>162</v>
      </c>
      <c r="E79" s="25" t="s">
        <v>168</v>
      </c>
      <c r="F79" s="25" t="s">
        <v>169</v>
      </c>
      <c r="G79" s="26">
        <f>IFERROR(INDEX('The 100'!$L$7:$L$106,MATCH(B79,'The 100'!$A$7:$A$106,0)),"")</f>
        <v>81.6</v>
      </c>
      <c r="H79" s="26">
        <f>IFERROR(INDEX('The 100'!$M$7:$M$106,MATCH(B79,'The 100'!$A$7:$A$106,0)),"")</f>
        <v>8.424242424242424</v>
      </c>
      <c r="I79" s="27"/>
      <c r="J79" s="28" t="str">
        <f>HYPERLINK("#'The 100'!B"&amp;(MATCH(B79,'The 100'!$A$7:$A$106,0)+6),"Open entry")</f>
        <v>Open entry</v>
      </c>
    </row>
    <row r="80" spans="1:10" ht="45" customHeight="1">
      <c r="A80" s="32">
        <v>2019</v>
      </c>
      <c r="B80" s="29">
        <v>88</v>
      </c>
      <c r="C80" s="30" t="s">
        <v>260</v>
      </c>
      <c r="D80" s="38" t="s">
        <v>162</v>
      </c>
      <c r="E80" s="33" t="s">
        <v>261</v>
      </c>
      <c r="F80" s="33" t="s">
        <v>216</v>
      </c>
      <c r="G80" s="34">
        <f>IFERROR(INDEX('The 100'!$L$7:$L$106,MATCH(B80,'The 100'!$A$7:$A$106,0)),"")</f>
        <v>67.2</v>
      </c>
      <c r="H80" s="34">
        <f>IFERROR(INDEX('The 100'!$M$7:$M$106,MATCH(B80,'The 100'!$A$7:$A$106,0)),"")</f>
        <v>7.363636363636363</v>
      </c>
      <c r="I80" s="35"/>
      <c r="J80" s="36" t="str">
        <f>HYPERLINK("#'The 100'!B"&amp;(MATCH(B80,'The 100'!$A$7:$A$106,0)+6),"Open entry")</f>
        <v>Open entry</v>
      </c>
    </row>
    <row r="81" spans="1:10" ht="45" customHeight="1">
      <c r="A81" s="24">
        <v>2019</v>
      </c>
      <c r="B81" s="21">
        <v>90</v>
      </c>
      <c r="C81" s="22" t="s">
        <v>267</v>
      </c>
      <c r="D81" s="37" t="s">
        <v>162</v>
      </c>
      <c r="E81" s="25" t="s">
        <v>264</v>
      </c>
      <c r="F81" s="25" t="s">
        <v>265</v>
      </c>
      <c r="G81" s="26">
        <f>IFERROR(INDEX('The 100'!$L$7:$L$106,MATCH(B81,'The 100'!$A$7:$A$106,0)),"")</f>
        <v>83.4</v>
      </c>
      <c r="H81" s="26">
        <f>IFERROR(INDEX('The 100'!$M$7:$M$106,MATCH(B81,'The 100'!$A$7:$A$106,0)),"")</f>
        <v>7.303030303030303</v>
      </c>
      <c r="I81" s="27"/>
      <c r="J81" s="28" t="str">
        <f>HYPERLINK("#'The 100'!B"&amp;(MATCH(B81,'The 100'!$A$7:$A$106,0)+6),"Open entry")</f>
        <v>Open entry</v>
      </c>
    </row>
    <row r="82" spans="1:10" ht="45" customHeight="1">
      <c r="A82" s="32">
        <v>2020</v>
      </c>
      <c r="B82" s="29">
        <v>18</v>
      </c>
      <c r="C82" s="30" t="s">
        <v>64</v>
      </c>
      <c r="D82" s="31" t="s">
        <v>8</v>
      </c>
      <c r="E82" s="33" t="s">
        <v>27</v>
      </c>
      <c r="F82" s="33" t="s">
        <v>24</v>
      </c>
      <c r="G82" s="34">
        <f>IFERROR(INDEX('The 100'!$L$7:$L$106,MATCH(B82,'The 100'!$A$7:$A$106,0)),"")</f>
        <v>86.5</v>
      </c>
      <c r="H82" s="34">
        <f>IFERROR(INDEX('The 100'!$M$7:$M$106,MATCH(B82,'The 100'!$A$7:$A$106,0)),"")</f>
        <v>9.484848484848484</v>
      </c>
      <c r="I82" s="35"/>
      <c r="J82" s="36" t="str">
        <f>HYPERLINK("#'The 100'!B"&amp;(MATCH(B82,'The 100'!$A$7:$A$106,0)+6),"Open entry")</f>
        <v>Open entry</v>
      </c>
    </row>
    <row r="83" spans="1:10" ht="45" customHeight="1">
      <c r="A83" s="24">
        <v>2020</v>
      </c>
      <c r="B83" s="21">
        <v>26</v>
      </c>
      <c r="C83" s="22" t="s">
        <v>87</v>
      </c>
      <c r="D83" s="23" t="s">
        <v>8</v>
      </c>
      <c r="E83" s="25" t="s">
        <v>18</v>
      </c>
      <c r="F83" s="25" t="s">
        <v>19</v>
      </c>
      <c r="G83" s="26">
        <f>IFERROR(INDEX('The 100'!$L$7:$L$106,MATCH(B83,'The 100'!$A$7:$A$106,0)),"")</f>
        <v>82.0</v>
      </c>
      <c r="H83" s="26">
        <f>IFERROR(INDEX('The 100'!$M$7:$M$106,MATCH(B83,'The 100'!$A$7:$A$106,0)),"")</f>
        <v>9.242424242424242</v>
      </c>
      <c r="I83" s="27"/>
      <c r="J83" s="28" t="str">
        <f>HYPERLINK("#'The 100'!B"&amp;(MATCH(B83,'The 100'!$A$7:$A$106,0)+6),"Open entry")</f>
        <v>Open entry</v>
      </c>
    </row>
    <row r="84" spans="1:10" ht="45" customHeight="1">
      <c r="A84" s="32">
        <v>2020</v>
      </c>
      <c r="B84" s="29">
        <v>50</v>
      </c>
      <c r="C84" s="30" t="s">
        <v>158</v>
      </c>
      <c r="D84" s="31" t="s">
        <v>8</v>
      </c>
      <c r="E84" s="33" t="s">
        <v>159</v>
      </c>
      <c r="F84" s="33" t="s">
        <v>112</v>
      </c>
      <c r="G84" s="34">
        <f>IFERROR(INDEX('The 100'!$L$7:$L$106,MATCH(B84,'The 100'!$A$7:$A$106,0)),"")</f>
        <v>83.4</v>
      </c>
      <c r="H84" s="34">
        <f>IFERROR(INDEX('The 100'!$M$7:$M$106,MATCH(B84,'The 100'!$A$7:$A$106,0)),"")</f>
        <v>8.515151515151516</v>
      </c>
      <c r="I84" s="35"/>
      <c r="J84" s="36" t="str">
        <f>HYPERLINK("#'The 100'!B"&amp;(MATCH(B84,'The 100'!$A$7:$A$106,0)+6),"Open entry")</f>
        <v>Open entry</v>
      </c>
    </row>
    <row r="85" spans="1:10" ht="45" customHeight="1">
      <c r="A85" s="24">
        <v>2020</v>
      </c>
      <c r="B85" s="21">
        <v>51</v>
      </c>
      <c r="C85" s="22" t="s">
        <v>161</v>
      </c>
      <c r="D85" s="37" t="s">
        <v>162</v>
      </c>
      <c r="E85" s="25" t="s">
        <v>163</v>
      </c>
      <c r="F85" s="25" t="s">
        <v>78</v>
      </c>
      <c r="G85" s="26">
        <f>IFERROR(INDEX('The 100'!$L$7:$L$106,MATCH(B85,'The 100'!$A$7:$A$106,0)),"")</f>
        <v>88.0</v>
      </c>
      <c r="H85" s="26">
        <f>IFERROR(INDEX('The 100'!$M$7:$M$106,MATCH(B85,'The 100'!$A$7:$A$106,0)),"")</f>
        <v>8.484848484848484</v>
      </c>
      <c r="I85" s="27"/>
      <c r="J85" s="28" t="str">
        <f>HYPERLINK("#'The 100'!B"&amp;(MATCH(B85,'The 100'!$A$7:$A$106,0)+6),"Open entry")</f>
        <v>Open entry</v>
      </c>
    </row>
    <row r="86" spans="1:10" ht="45" customHeight="1">
      <c r="A86" s="32">
        <v>2020</v>
      </c>
      <c r="B86" s="29">
        <v>55</v>
      </c>
      <c r="C86" s="30" t="s">
        <v>173</v>
      </c>
      <c r="D86" s="38" t="s">
        <v>162</v>
      </c>
      <c r="E86" s="33" t="s">
        <v>174</v>
      </c>
      <c r="F86" s="33" t="s">
        <v>144</v>
      </c>
      <c r="G86" s="34">
        <f>IFERROR(INDEX('The 100'!$L$7:$L$106,MATCH(B86,'The 100'!$A$7:$A$106,0)),"")</f>
        <v>83.2</v>
      </c>
      <c r="H86" s="34">
        <f>IFERROR(INDEX('The 100'!$M$7:$M$106,MATCH(B86,'The 100'!$A$7:$A$106,0)),"")</f>
        <v>8.363636363636363</v>
      </c>
      <c r="I86" s="35"/>
      <c r="J86" s="36" t="str">
        <f>HYPERLINK("#'The 100'!B"&amp;(MATCH(B86,'The 100'!$A$7:$A$106,0)+6),"Open entry")</f>
        <v>Open entry</v>
      </c>
    </row>
    <row r="87" spans="1:10" ht="45" customHeight="1">
      <c r="A87" s="24">
        <v>2020</v>
      </c>
      <c r="B87" s="21">
        <v>78</v>
      </c>
      <c r="C87" s="22" t="s">
        <v>232</v>
      </c>
      <c r="D87" s="37" t="s">
        <v>162</v>
      </c>
      <c r="E87" s="25" t="s">
        <v>90</v>
      </c>
      <c r="F87" s="25" t="s">
        <v>132</v>
      </c>
      <c r="G87" s="26">
        <f>IFERROR(INDEX('The 100'!$L$7:$L$106,MATCH(B87,'The 100'!$A$7:$A$106,0)),"")</f>
        <v>78.0</v>
      </c>
      <c r="H87" s="26">
        <f>IFERROR(INDEX('The 100'!$M$7:$M$106,MATCH(B87,'The 100'!$A$7:$A$106,0)),"")</f>
        <v>7.666666666666666</v>
      </c>
      <c r="I87" s="27"/>
      <c r="J87" s="28" t="str">
        <f>HYPERLINK("#'The 100'!B"&amp;(MATCH(B87,'The 100'!$A$7:$A$106,0)+6),"Open entry")</f>
        <v>Open entry</v>
      </c>
    </row>
    <row r="88" spans="1:10" ht="45" customHeight="1">
      <c r="A88" s="32">
        <v>2020</v>
      </c>
      <c r="B88" s="29">
        <v>93</v>
      </c>
      <c r="C88" s="30" t="s">
        <v>274</v>
      </c>
      <c r="D88" s="38" t="s">
        <v>162</v>
      </c>
      <c r="E88" s="33" t="s">
        <v>111</v>
      </c>
      <c r="F88" s="33" t="s">
        <v>58</v>
      </c>
      <c r="G88" s="34">
        <f>IFERROR(INDEX('The 100'!$L$7:$L$106,MATCH(B88,'The 100'!$A$7:$A$106,0)),"")</f>
        <v>80.4</v>
      </c>
      <c r="H88" s="34">
        <f>IFERROR(INDEX('The 100'!$M$7:$M$106,MATCH(B88,'The 100'!$A$7:$A$106,0)),"")</f>
        <v>7.212121212121212</v>
      </c>
      <c r="I88" s="35"/>
      <c r="J88" s="36" t="str">
        <f>HYPERLINK("#'The 100'!B"&amp;(MATCH(B88,'The 100'!$A$7:$A$106,0)+6),"Open entry")</f>
        <v>Open entry</v>
      </c>
    </row>
    <row r="89" spans="1:10" ht="45" customHeight="1">
      <c r="A89" s="24">
        <v>2021</v>
      </c>
      <c r="B89" s="21">
        <v>79</v>
      </c>
      <c r="C89" s="22" t="s">
        <v>234</v>
      </c>
      <c r="D89" s="37" t="s">
        <v>162</v>
      </c>
      <c r="E89" s="25" t="s">
        <v>90</v>
      </c>
      <c r="F89" s="25" t="s">
        <v>91</v>
      </c>
      <c r="G89" s="26">
        <f>IFERROR(INDEX('The 100'!$L$7:$L$106,MATCH(B89,'The 100'!$A$7:$A$106,0)),"")</f>
        <v>81.6</v>
      </c>
      <c r="H89" s="26">
        <f>IFERROR(INDEX('The 100'!$M$7:$M$106,MATCH(B89,'The 100'!$A$7:$A$106,0)),"")</f>
        <v>7.636363636363637</v>
      </c>
      <c r="I89" s="27"/>
      <c r="J89" s="28" t="str">
        <f>HYPERLINK("#'The 100'!B"&amp;(MATCH(B89,'The 100'!$A$7:$A$106,0)+6),"Open entry")</f>
        <v>Open entry</v>
      </c>
    </row>
    <row r="90" spans="1:10" ht="45" customHeight="1">
      <c r="A90" s="32">
        <v>2021</v>
      </c>
      <c r="B90" s="29">
        <v>85</v>
      </c>
      <c r="C90" s="30" t="s">
        <v>250</v>
      </c>
      <c r="D90" s="38" t="s">
        <v>162</v>
      </c>
      <c r="E90" s="33" t="s">
        <v>248</v>
      </c>
      <c r="F90" s="33" t="s">
        <v>251</v>
      </c>
      <c r="G90" s="34">
        <f>IFERROR(INDEX('The 100'!$L$7:$L$106,MATCH(B90,'The 100'!$A$7:$A$106,0)),"")</f>
        <v>88.4</v>
      </c>
      <c r="H90" s="34">
        <f>IFERROR(INDEX('The 100'!$M$7:$M$106,MATCH(B90,'The 100'!$A$7:$A$106,0)),"")</f>
        <v>7.454545454545455</v>
      </c>
      <c r="I90" s="35"/>
      <c r="J90" s="36" t="str">
        <f>HYPERLINK("#'The 100'!B"&amp;(MATCH(B90,'The 100'!$A$7:$A$106,0)+6),"Open entry")</f>
        <v>Open entry</v>
      </c>
    </row>
    <row r="91" spans="1:10" ht="45" customHeight="1">
      <c r="A91" s="24">
        <v>2021</v>
      </c>
      <c r="B91" s="21">
        <v>86</v>
      </c>
      <c r="C91" s="22" t="s">
        <v>253</v>
      </c>
      <c r="D91" s="37" t="s">
        <v>162</v>
      </c>
      <c r="E91" s="25" t="s">
        <v>254</v>
      </c>
      <c r="F91" s="25" t="s">
        <v>255</v>
      </c>
      <c r="G91" s="26">
        <f>IFERROR(INDEX('The 100'!$L$7:$L$106,MATCH(B91,'The 100'!$A$7:$A$106,0)),"")</f>
        <v>85.8</v>
      </c>
      <c r="H91" s="26">
        <f>IFERROR(INDEX('The 100'!$M$7:$M$106,MATCH(B91,'The 100'!$A$7:$A$106,0)),"")</f>
        <v>7.424242424242424</v>
      </c>
      <c r="I91" s="27"/>
      <c r="J91" s="28" t="str">
        <f>HYPERLINK("#'The 100'!B"&amp;(MATCH(B91,'The 100'!$A$7:$A$106,0)+6),"Open entry")</f>
        <v>Open entry</v>
      </c>
    </row>
    <row r="92" spans="1:10" ht="45" customHeight="1">
      <c r="A92" s="32">
        <v>2021</v>
      </c>
      <c r="B92" s="29">
        <v>87</v>
      </c>
      <c r="C92" s="30" t="s">
        <v>257</v>
      </c>
      <c r="D92" s="38" t="s">
        <v>162</v>
      </c>
      <c r="E92" s="33" t="s">
        <v>115</v>
      </c>
      <c r="F92" s="33" t="s">
        <v>258</v>
      </c>
      <c r="G92" s="34">
        <f>IFERROR(INDEX('The 100'!$L$7:$L$106,MATCH(B92,'The 100'!$A$7:$A$106,0)),"")</f>
        <v>93.4</v>
      </c>
      <c r="H92" s="34">
        <f>IFERROR(INDEX('The 100'!$M$7:$M$106,MATCH(B92,'The 100'!$A$7:$A$106,0)),"")</f>
        <v>7.3939393939393945</v>
      </c>
      <c r="I92" s="35"/>
      <c r="J92" s="36" t="str">
        <f>HYPERLINK("#'The 100'!B"&amp;(MATCH(B92,'The 100'!$A$7:$A$106,0)+6),"Open entry")</f>
        <v>Open entry</v>
      </c>
    </row>
    <row r="93" spans="1:10" ht="45" customHeight="1">
      <c r="A93" s="24">
        <v>2022</v>
      </c>
      <c r="B93" s="21">
        <v>15</v>
      </c>
      <c r="C93" s="22" t="s">
        <v>56</v>
      </c>
      <c r="D93" s="23" t="s">
        <v>8</v>
      </c>
      <c r="E93" s="25" t="s">
        <v>57</v>
      </c>
      <c r="F93" s="25" t="s">
        <v>58</v>
      </c>
      <c r="G93" s="26">
        <f>IFERROR(INDEX('The 100'!$L$7:$L$106,MATCH(B93,'The 100'!$A$7:$A$106,0)),"")</f>
        <v>97.0</v>
      </c>
      <c r="H93" s="26">
        <f>IFERROR(INDEX('The 100'!$M$7:$M$106,MATCH(B93,'The 100'!$A$7:$A$106,0)),"")</f>
        <v>9.6</v>
      </c>
      <c r="I93" s="27" t="s">
        <v>20</v>
      </c>
      <c r="J93" s="28" t="str">
        <f>HYPERLINK("#'The 100'!B"&amp;(MATCH(B93,'The 100'!$A$7:$A$106,0)+6),"Open entry")</f>
        <v>Open entry</v>
      </c>
    </row>
    <row r="94" spans="1:10" ht="45" customHeight="1">
      <c r="A94" s="32">
        <v>2022</v>
      </c>
      <c r="B94" s="29">
        <v>17</v>
      </c>
      <c r="C94" s="30" t="s">
        <v>62</v>
      </c>
      <c r="D94" s="31" t="s">
        <v>8</v>
      </c>
      <c r="E94" s="33" t="s">
        <v>23</v>
      </c>
      <c r="F94" s="33" t="s">
        <v>24</v>
      </c>
      <c r="G94" s="34">
        <f>IFERROR(INDEX('The 100'!$L$7:$L$106,MATCH(B94,'The 100'!$A$7:$A$106,0)),"")</f>
        <v>95.6</v>
      </c>
      <c r="H94" s="34">
        <f>IFERROR(INDEX('The 100'!$M$7:$M$106,MATCH(B94,'The 100'!$A$7:$A$106,0)),"")</f>
        <v>9.515151515151516</v>
      </c>
      <c r="I94" s="35"/>
      <c r="J94" s="36" t="str">
        <f>HYPERLINK("#'The 100'!B"&amp;(MATCH(B94,'The 100'!$A$7:$A$106,0)+6),"Open entry")</f>
        <v>Open entry</v>
      </c>
    </row>
    <row r="95" spans="1:10" ht="45" customHeight="1">
      <c r="A95" s="24">
        <v>2022</v>
      </c>
      <c r="B95" s="21">
        <v>49</v>
      </c>
      <c r="C95" s="22" t="s">
        <v>156</v>
      </c>
      <c r="D95" s="23" t="s">
        <v>8</v>
      </c>
      <c r="E95" s="25" t="s">
        <v>154</v>
      </c>
      <c r="F95" s="25" t="s">
        <v>58</v>
      </c>
      <c r="G95" s="26">
        <f>IFERROR(INDEX('The 100'!$L$7:$L$106,MATCH(B95,'The 100'!$A$7:$A$106,0)),"")</f>
        <v>88.6</v>
      </c>
      <c r="H95" s="26">
        <f>IFERROR(INDEX('The 100'!$M$7:$M$106,MATCH(B95,'The 100'!$A$7:$A$106,0)),"")</f>
        <v>8.5</v>
      </c>
      <c r="I95" s="27" t="s">
        <v>20</v>
      </c>
      <c r="J95" s="28" t="str">
        <f>HYPERLINK("#'The 100'!B"&amp;(MATCH(B95,'The 100'!$A$7:$A$106,0)+6),"Open entry")</f>
        <v>Open entry</v>
      </c>
    </row>
    <row r="96" spans="1:10" ht="45" customHeight="1">
      <c r="A96" s="32">
        <v>2023</v>
      </c>
      <c r="B96" s="29">
        <v>12</v>
      </c>
      <c r="C96" s="30" t="s">
        <v>45</v>
      </c>
      <c r="D96" s="31" t="s">
        <v>8</v>
      </c>
      <c r="E96" s="33" t="s">
        <v>46</v>
      </c>
      <c r="F96" s="33" t="s">
        <v>47</v>
      </c>
      <c r="G96" s="34">
        <f>IFERROR(INDEX('The 100'!$L$7:$L$106,MATCH(B96,'The 100'!$A$7:$A$106,0)),"")</f>
        <v>97.8</v>
      </c>
      <c r="H96" s="34">
        <f>IFERROR(INDEX('The 100'!$M$7:$M$106,MATCH(B96,'The 100'!$A$7:$A$106,0)),"")</f>
        <v>9.7</v>
      </c>
      <c r="I96" s="35" t="s">
        <v>20</v>
      </c>
      <c r="J96" s="36" t="str">
        <f>HYPERLINK("#'The 100'!B"&amp;(MATCH(B96,'The 100'!$A$7:$A$106,0)+6),"Open entry")</f>
        <v>Open entry</v>
      </c>
    </row>
    <row r="97" spans="1:10" ht="45" customHeight="1">
      <c r="A97" s="24">
        <v>2023</v>
      </c>
      <c r="B97" s="21">
        <v>27</v>
      </c>
      <c r="C97" s="22" t="s">
        <v>89</v>
      </c>
      <c r="D97" s="23" t="s">
        <v>8</v>
      </c>
      <c r="E97" s="25" t="s">
        <v>90</v>
      </c>
      <c r="F97" s="25" t="s">
        <v>91</v>
      </c>
      <c r="G97" s="26">
        <f>IFERROR(INDEX('The 100'!$L$7:$L$106,MATCH(B97,'The 100'!$A$7:$A$106,0)),"")</f>
        <v>92.8</v>
      </c>
      <c r="H97" s="26">
        <f>IFERROR(INDEX('The 100'!$M$7:$M$106,MATCH(B97,'The 100'!$A$7:$A$106,0)),"")</f>
        <v>9.212121212121213</v>
      </c>
      <c r="I97" s="27"/>
      <c r="J97" s="28" t="str">
        <f>HYPERLINK("#'The 100'!B"&amp;(MATCH(B97,'The 100'!$A$7:$A$106,0)+6),"Open entry")</f>
        <v>Open entry</v>
      </c>
    </row>
    <row r="98" spans="1:10" ht="45" customHeight="1">
      <c r="A98" s="32">
        <v>2023</v>
      </c>
      <c r="B98" s="29">
        <v>28</v>
      </c>
      <c r="C98" s="30" t="s">
        <v>93</v>
      </c>
      <c r="D98" s="31" t="s">
        <v>8</v>
      </c>
      <c r="E98" s="33" t="s">
        <v>94</v>
      </c>
      <c r="F98" s="33" t="s">
        <v>91</v>
      </c>
      <c r="G98" s="34">
        <f>IFERROR(INDEX('The 100'!$L$7:$L$106,MATCH(B98,'The 100'!$A$7:$A$106,0)),"")</f>
        <v>89.2</v>
      </c>
      <c r="H98" s="34">
        <f>IFERROR(INDEX('The 100'!$M$7:$M$106,MATCH(B98,'The 100'!$A$7:$A$106,0)),"")</f>
        <v>9.2</v>
      </c>
      <c r="I98" s="35" t="s">
        <v>20</v>
      </c>
      <c r="J98" s="36" t="str">
        <f>HYPERLINK("#'The 100'!B"&amp;(MATCH(B98,'The 100'!$A$7:$A$106,0)+6),"Open entry")</f>
        <v>Open entry</v>
      </c>
    </row>
    <row r="99" spans="1:10" ht="45" customHeight="1">
      <c r="A99" s="24">
        <v>2023</v>
      </c>
      <c r="B99" s="21">
        <v>52</v>
      </c>
      <c r="C99" s="22" t="s">
        <v>165</v>
      </c>
      <c r="D99" s="37" t="s">
        <v>162</v>
      </c>
      <c r="E99" s="25" t="s">
        <v>137</v>
      </c>
      <c r="F99" s="25" t="s">
        <v>24</v>
      </c>
      <c r="G99" s="26">
        <f>IFERROR(INDEX('The 100'!$L$7:$L$106,MATCH(B99,'The 100'!$A$7:$A$106,0)),"")</f>
        <v>85.8</v>
      </c>
      <c r="H99" s="26">
        <f>IFERROR(INDEX('The 100'!$M$7:$M$106,MATCH(B99,'The 100'!$A$7:$A$106,0)),"")</f>
        <v>8.454545454545455</v>
      </c>
      <c r="I99" s="27"/>
      <c r="J99" s="28" t="str">
        <f>HYPERLINK("#'The 100'!B"&amp;(MATCH(B99,'The 100'!$A$7:$A$106,0)+6),"Open entry")</f>
        <v>Open entry</v>
      </c>
    </row>
    <row r="100" spans="1:10" ht="45" customHeight="1">
      <c r="A100" s="32">
        <v>2023</v>
      </c>
      <c r="B100" s="29">
        <v>56</v>
      </c>
      <c r="C100" s="30" t="s">
        <v>176</v>
      </c>
      <c r="D100" s="38" t="s">
        <v>162</v>
      </c>
      <c r="E100" s="33" t="s">
        <v>174</v>
      </c>
      <c r="F100" s="33" t="s">
        <v>144</v>
      </c>
      <c r="G100" s="34">
        <f>IFERROR(INDEX('The 100'!$L$7:$L$106,MATCH(B100,'The 100'!$A$7:$A$106,0)),"")</f>
        <v>87.2</v>
      </c>
      <c r="H100" s="34">
        <f>IFERROR(INDEX('The 100'!$M$7:$M$106,MATCH(B100,'The 100'!$A$7:$A$106,0)),"")</f>
        <v>8.333333333333334</v>
      </c>
      <c r="I100" s="35"/>
      <c r="J100" s="36" t="str">
        <f>HYPERLINK("#'The 100'!B"&amp;(MATCH(B100,'The 100'!$A$7:$A$106,0)+6),"Open entry")</f>
        <v>Open entry</v>
      </c>
    </row>
    <row r="101" spans="1:10" ht="45" customHeight="1">
      <c r="A101" s="24">
        <v>2023</v>
      </c>
      <c r="B101" s="21">
        <v>61</v>
      </c>
      <c r="C101" s="22" t="s">
        <v>188</v>
      </c>
      <c r="D101" s="37" t="s">
        <v>162</v>
      </c>
      <c r="E101" s="25" t="s">
        <v>186</v>
      </c>
      <c r="F101" s="25" t="s">
        <v>144</v>
      </c>
      <c r="G101" s="26">
        <f>IFERROR(INDEX('The 100'!$L$7:$L$106,MATCH(B101,'The 100'!$A$7:$A$106,0)),"")</f>
        <v>89.25</v>
      </c>
      <c r="H101" s="26">
        <f>IFERROR(INDEX('The 100'!$M$7:$M$106,MATCH(B101,'The 100'!$A$7:$A$106,0)),"")</f>
        <v>8.181818181818182</v>
      </c>
      <c r="I101" s="27"/>
      <c r="J101" s="28" t="str">
        <f>HYPERLINK("#'The 100'!B"&amp;(MATCH(B101,'The 100'!$A$7:$A$106,0)+6),"Open entry")</f>
        <v>Open entry</v>
      </c>
    </row>
    <row r="102" spans="1:10" ht="45" customHeight="1">
      <c r="A102" s="32">
        <v>2023</v>
      </c>
      <c r="B102" s="29">
        <v>83</v>
      </c>
      <c r="C102" s="30" t="s">
        <v>244</v>
      </c>
      <c r="D102" s="38" t="s">
        <v>162</v>
      </c>
      <c r="E102" s="33" t="s">
        <v>245</v>
      </c>
      <c r="F102" s="33" t="s">
        <v>58</v>
      </c>
      <c r="G102" s="34">
        <f>IFERROR(INDEX('The 100'!$L$7:$L$106,MATCH(B102,'The 100'!$A$7:$A$106,0)),"")</f>
        <v>84.6</v>
      </c>
      <c r="H102" s="34">
        <f>IFERROR(INDEX('The 100'!$M$7:$M$106,MATCH(B102,'The 100'!$A$7:$A$106,0)),"")</f>
        <v>7.515151515151516</v>
      </c>
      <c r="I102" s="35"/>
      <c r="J102" s="36" t="str">
        <f>HYPERLINK("#'The 100'!B"&amp;(MATCH(B102,'The 100'!$A$7:$A$106,0)+6),"Open entry")</f>
        <v>Open entry</v>
      </c>
    </row>
    <row r="103" spans="1:10" ht="45" customHeight="1">
      <c r="A103" s="24">
        <v>2023</v>
      </c>
      <c r="B103" s="21">
        <v>84</v>
      </c>
      <c r="C103" s="22" t="s">
        <v>247</v>
      </c>
      <c r="D103" s="37" t="s">
        <v>162</v>
      </c>
      <c r="E103" s="25" t="s">
        <v>248</v>
      </c>
      <c r="F103" s="25" t="s">
        <v>112</v>
      </c>
      <c r="G103" s="26">
        <f>IFERROR(INDEX('The 100'!$L$7:$L$106,MATCH(B103,'The 100'!$A$7:$A$106,0)),"")</f>
        <v>85.8</v>
      </c>
      <c r="H103" s="26">
        <f>IFERROR(INDEX('The 100'!$M$7:$M$106,MATCH(B103,'The 100'!$A$7:$A$106,0)),"")</f>
        <v>7.484848484848484</v>
      </c>
      <c r="I103" s="27"/>
      <c r="J103" s="28" t="str">
        <f>HYPERLINK("#'The 100'!B"&amp;(MATCH(B103,'The 100'!$A$7:$A$106,0)+6),"Open entry")</f>
        <v>Open entry</v>
      </c>
    </row>
    <row r="104" spans="1:10" ht="45" customHeight="1">
      <c r="A104" s="32">
        <v>2025</v>
      </c>
      <c r="B104" s="29">
        <v>13</v>
      </c>
      <c r="C104" s="30" t="s">
        <v>49</v>
      </c>
      <c r="D104" s="31" t="s">
        <v>8</v>
      </c>
      <c r="E104" s="33" t="s">
        <v>50</v>
      </c>
      <c r="F104" s="33" t="s">
        <v>51</v>
      </c>
      <c r="G104" s="34">
        <f>IFERROR(INDEX('The 100'!$L$7:$L$106,MATCH(B104,'The 100'!$A$7:$A$106,0)),"")</f>
        <v>90.75</v>
      </c>
      <c r="H104" s="34">
        <f>IFERROR(INDEX('The 100'!$M$7:$M$106,MATCH(B104,'The 100'!$A$7:$A$106,0)),"")</f>
        <v>9.636363636363637</v>
      </c>
      <c r="I104" s="35"/>
      <c r="J104" s="36" t="str">
        <f>HYPERLINK("#'The 100'!B"&amp;(MATCH(B104,'The 100'!$A$7:$A$106,0)+6),"Open entry")</f>
        <v>Open entry</v>
      </c>
    </row>
    <row r="105" spans="1:10" ht="45" customHeight="1">
      <c r="A105" s="24">
        <v>2025</v>
      </c>
      <c r="B105" s="21">
        <v>54</v>
      </c>
      <c r="C105" s="22" t="s">
        <v>171</v>
      </c>
      <c r="D105" s="37" t="s">
        <v>162</v>
      </c>
      <c r="E105" s="25" t="s">
        <v>168</v>
      </c>
      <c r="F105" s="25" t="s">
        <v>169</v>
      </c>
      <c r="G105" s="26">
        <f>IFERROR(INDEX('The 100'!$L$7:$L$106,MATCH(B105,'The 100'!$A$7:$A$106,0)),"")</f>
        <v>90.0</v>
      </c>
      <c r="H105" s="26">
        <f>IFERROR(INDEX('The 100'!$M$7:$M$106,MATCH(B105,'The 100'!$A$7:$A$106,0)),"")</f>
        <v>8.393939393939394</v>
      </c>
      <c r="I105" s="27"/>
      <c r="J105" s="28" t="str">
        <f>HYPERLINK("#'The 100'!B"&amp;(MATCH(B105,'The 100'!$A$7:$A$106,0)+6),"Open entry")</f>
        <v>Open entry</v>
      </c>
    </row>
    <row r="106" spans="1:10" ht="45" customHeight="1">
      <c r="A106" s="32">
        <v>2026</v>
      </c>
      <c r="B106" s="29">
        <v>41</v>
      </c>
      <c r="C106" s="30" t="s">
        <v>134</v>
      </c>
      <c r="D106" s="31" t="s">
        <v>8</v>
      </c>
      <c r="E106" s="33" t="s">
        <v>90</v>
      </c>
      <c r="F106" s="33" t="s">
        <v>132</v>
      </c>
      <c r="G106" s="34">
        <f>IFERROR(INDEX('The 100'!$L$7:$L$106,MATCH(B106,'The 100'!$A$7:$A$106,0)),"")</f>
        <v>88.6</v>
      </c>
      <c r="H106" s="34">
        <f>IFERROR(INDEX('The 100'!$M$7:$M$106,MATCH(B106,'The 100'!$A$7:$A$106,0)),"")</f>
        <v>8.787878787878787</v>
      </c>
      <c r="I106" s="35"/>
      <c r="J106" s="36" t="str">
        <f>HYPERLINK("#'The 100'!B"&amp;(MATCH(B106,'The 100'!$A$7:$A$106,0)+6),"Open entry")</f>
        <v>Open entry</v>
      </c>
    </row>
    <row r="107" spans="1:10" ht="21" customHeight="1">
      <c r="A107" s="1"/>
      <c r="B107" s="1"/>
      <c r="C107" s="1"/>
      <c r="D107" s="1"/>
      <c r="E107" s="1"/>
      <c r="F107" s="1"/>
      <c r="G107" s="1"/>
      <c r="H107" s="1"/>
      <c r="I107" s="1"/>
      <c r="J107" s="1"/>
    </row>
    <row r="110" spans="1:10" ht="25" customHeight="1">
      <c r="A110" s="9" t="s">
        <v>530</v>
      </c>
      <c r="B110" s="9"/>
      <c r="C110" s="9"/>
      <c r="D110" s="9"/>
      <c r="E110" s="9"/>
      <c r="F110" s="9"/>
      <c r="G110" s="9"/>
      <c r="H110" s="9"/>
      <c r="I110" s="9"/>
      <c r="J110" s="9"/>
    </row>
    <row r="111" spans="1:10" ht="32" customHeight="1">
      <c r="A111" s="17" t="s">
        <v>531</v>
      </c>
      <c r="B111" s="17"/>
      <c r="C111" s="17"/>
      <c r="D111" s="17" t="s">
        <v>532</v>
      </c>
      <c r="E111" s="17"/>
      <c r="F111" s="17"/>
      <c r="G111" s="17" t="s">
        <v>533</v>
      </c>
      <c r="H111" s="17"/>
      <c r="I111" s="17"/>
      <c r="J111" s="17"/>
    </row>
  </sheetData>
  <mergeCells count="7">
    <mergeCell ref="A1:J1"/>
    <mergeCell ref="A2:J2"/>
    <mergeCell ref="A5:J5"/>
    <mergeCell ref="A110:J110"/>
    <mergeCell ref="A111:C111"/>
    <mergeCell ref="D111:F111"/>
    <mergeCell ref="G111:J111"/>
  </mergeCells>
  <conditionalFormatting sqref="A7:J106">
    <cfRule type="expression" dxfId="2" priority="1">
      <formula>AND(ISNUMBER($A6),$A7&lt;&gt;$A6)</formula>
    </cfRule>
  </conditionalFormatting>
  <hyperlinks>
    <hyperlink ref="A4" location="'Start Here'!A1" display="← Start Here"/>
    <hyperlink ref="C4" location="'The 100'!A1" display="The 100 →"/>
    <hyperlink ref="F4" location="'Methodology'!A1" display="How to read →"/>
    <hyperlink ref="A111" r:id="rId1"/>
    <hyperlink ref="D111" r:id="rId2"/>
    <hyperlink ref="G111" r:id="rId3"/>
  </hyperlinks>
  <pageMargins left="0.3" right="0.3" top="0.4" bottom="0.4" header="0.15" footer="0.15"/>
  <pageSetup paperSize="8" fitToHeight="0" orientation="landscape"/>
  <headerFooter>
    <oddHeader>&amp;LPlay 100&amp;RUser-curated collection</oddHeader>
    <oddFooter>&amp;L&amp;8Curated by Leul Tewodros Agonafer
https://github.com/LeulTew/play-100&amp;C&amp;8https://www.linkedin.com/in/leul-t-agonafer-861bb3336/
https://t.me/fabbin&amp;R&amp;8&amp;P / &amp;N</oddFooter>
  </headerFooter>
  <tableParts count="1">
    <tablePart r:id="rId4"/>
  </tableParts>
</worksheet>
</file>

<file path=xl/worksheets/sheet4.xml><?xml version="1.0" encoding="utf-8"?>
<worksheet xmlns="http://schemas.openxmlformats.org/spreadsheetml/2006/main" xmlns:r="http://schemas.openxmlformats.org/officeDocument/2006/relationships">
  <sheetPr>
    <tabColor rgb="FF18211C"/>
    <pageSetUpPr fitToPage="1"/>
  </sheetPr>
  <dimension ref="A1:S311"/>
  <sheetViews>
    <sheetView showGridLines="0" zoomScale="90" zoomScaleNormal="90" workbookViewId="0">
      <pane ySplit="6" topLeftCell="A7" activePane="bottomLeft" state="frozen"/>
      <selection pane="bottomLeft"/>
    </sheetView>
  </sheetViews>
  <sheetFormatPr defaultRowHeight="21" customHeight="1"/>
  <cols>
    <col min="1" max="19" width="8.7109375" style="1" customWidth="1"/>
  </cols>
  <sheetData>
    <row r="1" spans="1:19" ht="44" customHeight="1">
      <c r="A1" s="18" t="s">
        <v>319</v>
      </c>
      <c r="B1" s="18"/>
      <c r="C1" s="18"/>
      <c r="D1" s="18"/>
      <c r="E1" s="18"/>
      <c r="F1" s="18"/>
      <c r="G1" s="18"/>
      <c r="H1" s="18"/>
      <c r="I1" s="18"/>
      <c r="J1" s="18"/>
      <c r="K1" s="18"/>
      <c r="L1" s="18"/>
      <c r="M1" s="18"/>
      <c r="N1" s="18"/>
      <c r="O1" s="18"/>
      <c r="P1" s="18"/>
      <c r="Q1" s="18"/>
      <c r="R1" s="18"/>
      <c r="S1" s="18"/>
    </row>
    <row r="2" spans="1:19" ht="31" customHeight="1">
      <c r="A2" s="14" t="s">
        <v>320</v>
      </c>
      <c r="B2" s="14"/>
      <c r="C2" s="14"/>
      <c r="D2" s="14"/>
      <c r="E2" s="14"/>
      <c r="F2" s="14"/>
      <c r="G2" s="14"/>
      <c r="H2" s="14"/>
      <c r="I2" s="14"/>
      <c r="J2" s="14"/>
      <c r="K2" s="14"/>
      <c r="L2" s="14"/>
      <c r="M2" s="14"/>
      <c r="N2" s="14"/>
      <c r="O2" s="14"/>
      <c r="P2" s="14"/>
      <c r="Q2" s="14"/>
      <c r="R2" s="14"/>
      <c r="S2" s="14"/>
    </row>
    <row r="3" spans="1:19" ht="21" customHeight="1">
      <c r="A3" s="1"/>
      <c r="B3" s="1"/>
      <c r="C3" s="1"/>
      <c r="D3" s="1"/>
      <c r="E3" s="1"/>
      <c r="F3" s="1"/>
      <c r="G3" s="1"/>
      <c r="H3" s="1"/>
      <c r="I3" s="1"/>
      <c r="J3" s="1"/>
      <c r="K3" s="1"/>
      <c r="L3" s="1"/>
      <c r="M3" s="1"/>
      <c r="N3" s="1"/>
      <c r="O3" s="1"/>
      <c r="P3" s="1"/>
      <c r="Q3" s="1"/>
      <c r="R3" s="1"/>
      <c r="S3" s="1"/>
    </row>
    <row r="4" spans="1:19" ht="21" customHeight="1">
      <c r="A4" s="19" t="s">
        <v>2</v>
      </c>
      <c r="B4" s="1"/>
      <c r="C4" s="1"/>
      <c r="D4" s="1"/>
      <c r="E4" s="1"/>
      <c r="F4" s="19" t="s">
        <v>315</v>
      </c>
      <c r="G4" s="1"/>
      <c r="H4" s="1"/>
      <c r="I4" s="1"/>
      <c r="J4" s="1"/>
      <c r="K4" s="19" t="s">
        <v>321</v>
      </c>
      <c r="L4" s="1"/>
      <c r="M4" s="1"/>
      <c r="N4" s="1"/>
      <c r="O4" s="1"/>
      <c r="P4" s="1"/>
      <c r="Q4" s="1"/>
      <c r="R4" s="1"/>
      <c r="S4" s="1"/>
    </row>
    <row r="5" spans="1:19" ht="21" customHeight="1">
      <c r="A5" s="15" t="s">
        <v>322</v>
      </c>
      <c r="B5" s="15"/>
      <c r="C5" s="15"/>
      <c r="D5" s="15"/>
      <c r="E5" s="15"/>
      <c r="F5" s="15"/>
      <c r="G5" s="15"/>
      <c r="H5" s="15"/>
      <c r="I5" s="15"/>
      <c r="J5" s="15"/>
      <c r="K5" s="15"/>
      <c r="L5" s="15"/>
      <c r="M5" s="15"/>
      <c r="N5" s="15"/>
      <c r="O5" s="15"/>
      <c r="P5" s="15"/>
      <c r="Q5" s="15"/>
      <c r="R5" s="15"/>
      <c r="S5" s="15"/>
    </row>
    <row r="6" spans="1:19" ht="21" customHeight="1">
      <c r="A6" s="1"/>
      <c r="B6" s="1"/>
      <c r="C6" s="1"/>
      <c r="D6" s="1"/>
      <c r="E6" s="1"/>
      <c r="F6" s="1"/>
      <c r="G6" s="1"/>
      <c r="H6" s="1"/>
      <c r="I6" s="1"/>
      <c r="J6" s="1"/>
      <c r="K6" s="1"/>
      <c r="L6" s="1"/>
      <c r="M6" s="1"/>
      <c r="N6" s="1"/>
      <c r="O6" s="1"/>
      <c r="P6" s="1"/>
      <c r="Q6" s="1"/>
      <c r="R6" s="1"/>
      <c r="S6" s="1"/>
    </row>
    <row r="7" spans="1:19" ht="21" customHeight="1">
      <c r="A7" s="39" t="s">
        <v>323</v>
      </c>
      <c r="B7" s="39"/>
      <c r="C7" s="39"/>
      <c r="D7" s="39"/>
      <c r="E7" s="1"/>
      <c r="F7" s="39" t="s">
        <v>325</v>
      </c>
      <c r="G7" s="39"/>
      <c r="H7" s="39"/>
      <c r="I7" s="39"/>
      <c r="J7" s="1"/>
      <c r="K7" s="39" t="s">
        <v>327</v>
      </c>
      <c r="L7" s="39"/>
      <c r="M7" s="39"/>
      <c r="N7" s="39"/>
      <c r="O7" s="1"/>
      <c r="P7" s="39" t="s">
        <v>329</v>
      </c>
      <c r="Q7" s="39"/>
      <c r="R7" s="39"/>
      <c r="S7" s="39"/>
    </row>
    <row r="8" spans="1:19" ht="21" customHeight="1">
      <c r="A8" s="39"/>
      <c r="B8" s="39"/>
      <c r="C8" s="39"/>
      <c r="D8" s="39"/>
      <c r="E8" s="1"/>
      <c r="F8" s="39"/>
      <c r="G8" s="39"/>
      <c r="H8" s="39"/>
      <c r="I8" s="39"/>
      <c r="J8" s="1"/>
      <c r="K8" s="39"/>
      <c r="L8" s="39"/>
      <c r="M8" s="39"/>
      <c r="N8" s="39"/>
      <c r="O8" s="1"/>
      <c r="P8" s="39"/>
      <c r="Q8" s="39"/>
      <c r="R8" s="39"/>
      <c r="S8" s="39"/>
    </row>
    <row r="9" spans="1:19" ht="21" customHeight="1">
      <c r="A9" s="39"/>
      <c r="B9" s="39"/>
      <c r="C9" s="39"/>
      <c r="D9" s="39"/>
      <c r="E9" s="1"/>
      <c r="F9" s="39"/>
      <c r="G9" s="39"/>
      <c r="H9" s="39"/>
      <c r="I9" s="39"/>
      <c r="J9" s="1"/>
      <c r="K9" s="39"/>
      <c r="L9" s="39"/>
      <c r="M9" s="39"/>
      <c r="N9" s="39"/>
      <c r="O9" s="1"/>
      <c r="P9" s="39"/>
      <c r="Q9" s="39"/>
      <c r="R9" s="39"/>
      <c r="S9" s="39"/>
    </row>
    <row r="10" spans="1:19" ht="21" customHeight="1">
      <c r="A10" s="40"/>
      <c r="B10" s="40"/>
      <c r="C10" s="40"/>
      <c r="D10" s="40"/>
      <c r="E10" s="1"/>
      <c r="F10" s="40"/>
      <c r="G10" s="40"/>
      <c r="H10" s="40"/>
      <c r="I10" s="40"/>
      <c r="J10" s="1"/>
      <c r="K10" s="40"/>
      <c r="L10" s="40"/>
      <c r="M10" s="40"/>
      <c r="N10" s="40"/>
      <c r="O10" s="1"/>
      <c r="P10" s="40"/>
      <c r="Q10" s="40"/>
      <c r="R10" s="40"/>
      <c r="S10" s="40"/>
    </row>
    <row r="11" spans="1:19" ht="21" customHeight="1">
      <c r="A11" s="40"/>
      <c r="B11" s="40"/>
      <c r="C11" s="40"/>
      <c r="D11" s="40"/>
      <c r="E11" s="1"/>
      <c r="F11" s="40"/>
      <c r="G11" s="40"/>
      <c r="H11" s="40"/>
      <c r="I11" s="40"/>
      <c r="J11" s="1"/>
      <c r="K11" s="40"/>
      <c r="L11" s="40"/>
      <c r="M11" s="40"/>
      <c r="N11" s="40"/>
      <c r="O11" s="1"/>
      <c r="P11" s="40"/>
      <c r="Q11" s="40"/>
      <c r="R11" s="40"/>
      <c r="S11" s="40"/>
    </row>
    <row r="12" spans="1:19" ht="21" customHeight="1">
      <c r="A12" s="40"/>
      <c r="B12" s="40"/>
      <c r="C12" s="40"/>
      <c r="D12" s="40"/>
      <c r="E12" s="1"/>
      <c r="F12" s="40"/>
      <c r="G12" s="40"/>
      <c r="H12" s="40"/>
      <c r="I12" s="40"/>
      <c r="J12" s="1"/>
      <c r="K12" s="40"/>
      <c r="L12" s="40"/>
      <c r="M12" s="40"/>
      <c r="N12" s="40"/>
      <c r="O12" s="1"/>
      <c r="P12" s="40"/>
      <c r="Q12" s="40"/>
      <c r="R12" s="40"/>
      <c r="S12" s="40"/>
    </row>
    <row r="13" spans="1:19" ht="21" customHeight="1">
      <c r="A13" s="40"/>
      <c r="B13" s="40"/>
      <c r="C13" s="40"/>
      <c r="D13" s="40"/>
      <c r="E13" s="1"/>
      <c r="F13" s="40"/>
      <c r="G13" s="40"/>
      <c r="H13" s="40"/>
      <c r="I13" s="40"/>
      <c r="J13" s="1"/>
      <c r="K13" s="40"/>
      <c r="L13" s="40"/>
      <c r="M13" s="40"/>
      <c r="N13" s="40"/>
      <c r="O13" s="1"/>
      <c r="P13" s="40"/>
      <c r="Q13" s="40"/>
      <c r="R13" s="40"/>
      <c r="S13" s="40"/>
    </row>
    <row r="14" spans="1:19" ht="21" customHeight="1">
      <c r="A14" s="40"/>
      <c r="B14" s="40"/>
      <c r="C14" s="40"/>
      <c r="D14" s="40"/>
      <c r="E14" s="1"/>
      <c r="F14" s="40"/>
      <c r="G14" s="40"/>
      <c r="H14" s="40"/>
      <c r="I14" s="40"/>
      <c r="J14" s="1"/>
      <c r="K14" s="40"/>
      <c r="L14" s="40"/>
      <c r="M14" s="40"/>
      <c r="N14" s="40"/>
      <c r="O14" s="1"/>
      <c r="P14" s="40"/>
      <c r="Q14" s="40"/>
      <c r="R14" s="40"/>
      <c r="S14" s="40"/>
    </row>
    <row r="15" spans="1:19" ht="21" customHeight="1">
      <c r="A15" s="40"/>
      <c r="B15" s="40"/>
      <c r="C15" s="40"/>
      <c r="D15" s="40"/>
      <c r="E15" s="1"/>
      <c r="F15" s="40"/>
      <c r="G15" s="40"/>
      <c r="H15" s="40"/>
      <c r="I15" s="40"/>
      <c r="J15" s="1"/>
      <c r="K15" s="40"/>
      <c r="L15" s="40"/>
      <c r="M15" s="40"/>
      <c r="N15" s="40"/>
      <c r="O15" s="1"/>
      <c r="P15" s="40"/>
      <c r="Q15" s="40"/>
      <c r="R15" s="40"/>
      <c r="S15" s="40"/>
    </row>
    <row r="16" spans="1:19" ht="21" customHeight="1">
      <c r="A16" s="41" t="s">
        <v>324</v>
      </c>
      <c r="B16" s="41"/>
      <c r="C16" s="41"/>
      <c r="D16" s="41"/>
      <c r="E16" s="1"/>
      <c r="F16" s="41" t="s">
        <v>326</v>
      </c>
      <c r="G16" s="41"/>
      <c r="H16" s="41"/>
      <c r="I16" s="41"/>
      <c r="J16" s="1"/>
      <c r="K16" s="41" t="s">
        <v>328</v>
      </c>
      <c r="L16" s="41"/>
      <c r="M16" s="41"/>
      <c r="N16" s="41"/>
      <c r="O16" s="1"/>
      <c r="P16" s="41" t="s">
        <v>324</v>
      </c>
      <c r="Q16" s="41"/>
      <c r="R16" s="41"/>
      <c r="S16" s="41"/>
    </row>
    <row r="17" spans="1:19" ht="21" customHeight="1">
      <c r="A17" s="17" t="str">
        <f>HYPERLINK("#'The 100'!B"&amp;(MATCH(1,'The 100'!$A$7:$A$106,0)+6),"View this entry →")</f>
        <v>View this entry →</v>
      </c>
      <c r="B17" s="17"/>
      <c r="C17" s="17"/>
      <c r="D17" s="17"/>
      <c r="E17" s="1"/>
      <c r="F17" s="17" t="str">
        <f>HYPERLINK("#'The 100'!B"&amp;(MATCH(2,'The 100'!$A$7:$A$106,0)+6),"View this entry →")</f>
        <v>View this entry →</v>
      </c>
      <c r="G17" s="17"/>
      <c r="H17" s="17"/>
      <c r="I17" s="17"/>
      <c r="J17" s="1"/>
      <c r="K17" s="17" t="str">
        <f>HYPERLINK("#'The 100'!B"&amp;(MATCH(3,'The 100'!$A$7:$A$106,0)+6),"View this entry →")</f>
        <v>View this entry →</v>
      </c>
      <c r="L17" s="17"/>
      <c r="M17" s="17"/>
      <c r="N17" s="17"/>
      <c r="O17" s="1"/>
      <c r="P17" s="17" t="str">
        <f>HYPERLINK("#'The 100'!B"&amp;(MATCH(4,'The 100'!$A$7:$A$106,0)+6),"View this entry →")</f>
        <v>View this entry →</v>
      </c>
      <c r="Q17" s="17"/>
      <c r="R17" s="17"/>
      <c r="S17" s="17"/>
    </row>
    <row r="18" spans="1:19" ht="21" customHeight="1">
      <c r="A18" s="1"/>
      <c r="B18" s="1"/>
      <c r="C18" s="1"/>
      <c r="D18" s="1"/>
      <c r="E18" s="1"/>
      <c r="F18" s="1"/>
      <c r="G18" s="1"/>
      <c r="H18" s="1"/>
      <c r="I18" s="1"/>
      <c r="J18" s="1"/>
      <c r="K18" s="1"/>
      <c r="L18" s="1"/>
      <c r="M18" s="1"/>
      <c r="N18" s="1"/>
      <c r="O18" s="1"/>
      <c r="P18" s="1"/>
      <c r="Q18" s="1"/>
      <c r="R18" s="1"/>
      <c r="S18" s="1"/>
    </row>
    <row r="19" spans="1:19" ht="21" customHeight="1">
      <c r="A19" s="39" t="s">
        <v>330</v>
      </c>
      <c r="B19" s="39"/>
      <c r="C19" s="39"/>
      <c r="D19" s="39"/>
      <c r="E19" s="1"/>
      <c r="F19" s="39" t="s">
        <v>332</v>
      </c>
      <c r="G19" s="39"/>
      <c r="H19" s="39"/>
      <c r="I19" s="39"/>
      <c r="J19" s="1"/>
      <c r="K19" s="39" t="s">
        <v>333</v>
      </c>
      <c r="L19" s="39"/>
      <c r="M19" s="39"/>
      <c r="N19" s="39"/>
      <c r="O19" s="1"/>
      <c r="P19" s="39" t="s">
        <v>335</v>
      </c>
      <c r="Q19" s="39"/>
      <c r="R19" s="39"/>
      <c r="S19" s="39"/>
    </row>
    <row r="20" spans="1:19" ht="21" customHeight="1">
      <c r="A20" s="39"/>
      <c r="B20" s="39"/>
      <c r="C20" s="39"/>
      <c r="D20" s="39"/>
      <c r="E20" s="1"/>
      <c r="F20" s="39"/>
      <c r="G20" s="39"/>
      <c r="H20" s="39"/>
      <c r="I20" s="39"/>
      <c r="J20" s="1"/>
      <c r="K20" s="39"/>
      <c r="L20" s="39"/>
      <c r="M20" s="39"/>
      <c r="N20" s="39"/>
      <c r="O20" s="1"/>
      <c r="P20" s="39"/>
      <c r="Q20" s="39"/>
      <c r="R20" s="39"/>
      <c r="S20" s="39"/>
    </row>
    <row r="21" spans="1:19" ht="21" customHeight="1">
      <c r="A21" s="39"/>
      <c r="B21" s="39"/>
      <c r="C21" s="39"/>
      <c r="D21" s="39"/>
      <c r="E21" s="1"/>
      <c r="F21" s="39"/>
      <c r="G21" s="39"/>
      <c r="H21" s="39"/>
      <c r="I21" s="39"/>
      <c r="J21" s="1"/>
      <c r="K21" s="39"/>
      <c r="L21" s="39"/>
      <c r="M21" s="39"/>
      <c r="N21" s="39"/>
      <c r="O21" s="1"/>
      <c r="P21" s="39"/>
      <c r="Q21" s="39"/>
      <c r="R21" s="39"/>
      <c r="S21" s="39"/>
    </row>
    <row r="22" spans="1:19" ht="21" customHeight="1">
      <c r="A22" s="40"/>
      <c r="B22" s="40"/>
      <c r="C22" s="40"/>
      <c r="D22" s="40"/>
      <c r="E22" s="1"/>
      <c r="F22" s="40"/>
      <c r="G22" s="40"/>
      <c r="H22" s="40"/>
      <c r="I22" s="40"/>
      <c r="J22" s="1"/>
      <c r="K22" s="40"/>
      <c r="L22" s="40"/>
      <c r="M22" s="40"/>
      <c r="N22" s="40"/>
      <c r="O22" s="1"/>
      <c r="P22" s="40"/>
      <c r="Q22" s="40"/>
      <c r="R22" s="40"/>
      <c r="S22" s="40"/>
    </row>
    <row r="23" spans="1:19" ht="21" customHeight="1">
      <c r="A23" s="40"/>
      <c r="B23" s="40"/>
      <c r="C23" s="40"/>
      <c r="D23" s="40"/>
      <c r="E23" s="1"/>
      <c r="F23" s="40"/>
      <c r="G23" s="40"/>
      <c r="H23" s="40"/>
      <c r="I23" s="40"/>
      <c r="J23" s="1"/>
      <c r="K23" s="40"/>
      <c r="L23" s="40"/>
      <c r="M23" s="40"/>
      <c r="N23" s="40"/>
      <c r="O23" s="1"/>
      <c r="P23" s="40"/>
      <c r="Q23" s="40"/>
      <c r="R23" s="40"/>
      <c r="S23" s="40"/>
    </row>
    <row r="24" spans="1:19" ht="21" customHeight="1">
      <c r="A24" s="40"/>
      <c r="B24" s="40"/>
      <c r="C24" s="40"/>
      <c r="D24" s="40"/>
      <c r="E24" s="1"/>
      <c r="F24" s="40"/>
      <c r="G24" s="40"/>
      <c r="H24" s="40"/>
      <c r="I24" s="40"/>
      <c r="J24" s="1"/>
      <c r="K24" s="40"/>
      <c r="L24" s="40"/>
      <c r="M24" s="40"/>
      <c r="N24" s="40"/>
      <c r="O24" s="1"/>
      <c r="P24" s="40"/>
      <c r="Q24" s="40"/>
      <c r="R24" s="40"/>
      <c r="S24" s="40"/>
    </row>
    <row r="25" spans="1:19" ht="21" customHeight="1">
      <c r="A25" s="40"/>
      <c r="B25" s="40"/>
      <c r="C25" s="40"/>
      <c r="D25" s="40"/>
      <c r="E25" s="1"/>
      <c r="F25" s="40"/>
      <c r="G25" s="40"/>
      <c r="H25" s="40"/>
      <c r="I25" s="40"/>
      <c r="J25" s="1"/>
      <c r="K25" s="40"/>
      <c r="L25" s="40"/>
      <c r="M25" s="40"/>
      <c r="N25" s="40"/>
      <c r="O25" s="1"/>
      <c r="P25" s="40"/>
      <c r="Q25" s="40"/>
      <c r="R25" s="40"/>
      <c r="S25" s="40"/>
    </row>
    <row r="26" spans="1:19" ht="21" customHeight="1">
      <c r="A26" s="40"/>
      <c r="B26" s="40"/>
      <c r="C26" s="40"/>
      <c r="D26" s="40"/>
      <c r="E26" s="1"/>
      <c r="F26" s="40"/>
      <c r="G26" s="40"/>
      <c r="H26" s="40"/>
      <c r="I26" s="40"/>
      <c r="J26" s="1"/>
      <c r="K26" s="40"/>
      <c r="L26" s="40"/>
      <c r="M26" s="40"/>
      <c r="N26" s="40"/>
      <c r="O26" s="1"/>
      <c r="P26" s="40"/>
      <c r="Q26" s="40"/>
      <c r="R26" s="40"/>
      <c r="S26" s="40"/>
    </row>
    <row r="27" spans="1:19" ht="21" customHeight="1">
      <c r="A27" s="40"/>
      <c r="B27" s="40"/>
      <c r="C27" s="40"/>
      <c r="D27" s="40"/>
      <c r="E27" s="1"/>
      <c r="F27" s="40"/>
      <c r="G27" s="40"/>
      <c r="H27" s="40"/>
      <c r="I27" s="40"/>
      <c r="J27" s="1"/>
      <c r="K27" s="40"/>
      <c r="L27" s="40"/>
      <c r="M27" s="40"/>
      <c r="N27" s="40"/>
      <c r="O27" s="1"/>
      <c r="P27" s="40"/>
      <c r="Q27" s="40"/>
      <c r="R27" s="40"/>
      <c r="S27" s="40"/>
    </row>
    <row r="28" spans="1:19" ht="21" customHeight="1">
      <c r="A28" s="41" t="s">
        <v>331</v>
      </c>
      <c r="B28" s="41"/>
      <c r="C28" s="41"/>
      <c r="D28" s="41"/>
      <c r="E28" s="1"/>
      <c r="F28" s="41" t="s">
        <v>331</v>
      </c>
      <c r="G28" s="41"/>
      <c r="H28" s="41"/>
      <c r="I28" s="41"/>
      <c r="J28" s="1"/>
      <c r="K28" s="41" t="s">
        <v>334</v>
      </c>
      <c r="L28" s="41"/>
      <c r="M28" s="41"/>
      <c r="N28" s="41"/>
      <c r="O28" s="1"/>
      <c r="P28" s="41" t="s">
        <v>326</v>
      </c>
      <c r="Q28" s="41"/>
      <c r="R28" s="41"/>
      <c r="S28" s="41"/>
    </row>
    <row r="29" spans="1:19" ht="21" customHeight="1">
      <c r="A29" s="17" t="str">
        <f>HYPERLINK("#'The 100'!B"&amp;(MATCH(5,'The 100'!$A$7:$A$106,0)+6),"View this entry →")</f>
        <v>View this entry →</v>
      </c>
      <c r="B29" s="17"/>
      <c r="C29" s="17"/>
      <c r="D29" s="17"/>
      <c r="E29" s="1"/>
      <c r="F29" s="17" t="str">
        <f>HYPERLINK("#'The 100'!B"&amp;(MATCH(6,'The 100'!$A$7:$A$106,0)+6),"View this entry →")</f>
        <v>View this entry →</v>
      </c>
      <c r="G29" s="17"/>
      <c r="H29" s="17"/>
      <c r="I29" s="17"/>
      <c r="J29" s="1"/>
      <c r="K29" s="17" t="str">
        <f>HYPERLINK("#'The 100'!B"&amp;(MATCH(7,'The 100'!$A$7:$A$106,0)+6),"View this entry →")</f>
        <v>View this entry →</v>
      </c>
      <c r="L29" s="17"/>
      <c r="M29" s="17"/>
      <c r="N29" s="17"/>
      <c r="O29" s="1"/>
      <c r="P29" s="17" t="str">
        <f>HYPERLINK("#'The 100'!B"&amp;(MATCH(8,'The 100'!$A$7:$A$106,0)+6),"View this entry →")</f>
        <v>View this entry →</v>
      </c>
      <c r="Q29" s="17"/>
      <c r="R29" s="17"/>
      <c r="S29" s="17"/>
    </row>
    <row r="30" spans="1:19" ht="21" customHeight="1">
      <c r="A30" s="1"/>
      <c r="B30" s="1"/>
      <c r="C30" s="1"/>
      <c r="D30" s="1"/>
      <c r="E30" s="1"/>
      <c r="F30" s="1"/>
      <c r="G30" s="1"/>
      <c r="H30" s="1"/>
      <c r="I30" s="1"/>
      <c r="J30" s="1"/>
      <c r="K30" s="1"/>
      <c r="L30" s="1"/>
      <c r="M30" s="1"/>
      <c r="N30" s="1"/>
      <c r="O30" s="1"/>
      <c r="P30" s="1"/>
      <c r="Q30" s="1"/>
      <c r="R30" s="1"/>
      <c r="S30" s="1"/>
    </row>
    <row r="31" spans="1:19" ht="21" customHeight="1">
      <c r="A31" s="39" t="s">
        <v>336</v>
      </c>
      <c r="B31" s="39"/>
      <c r="C31" s="39"/>
      <c r="D31" s="39"/>
      <c r="E31" s="1"/>
      <c r="F31" s="39" t="s">
        <v>338</v>
      </c>
      <c r="G31" s="39"/>
      <c r="H31" s="39"/>
      <c r="I31" s="39"/>
      <c r="J31" s="1"/>
      <c r="K31" s="39" t="s">
        <v>339</v>
      </c>
      <c r="L31" s="39"/>
      <c r="M31" s="39"/>
      <c r="N31" s="39"/>
      <c r="O31" s="1"/>
      <c r="P31" s="39" t="s">
        <v>341</v>
      </c>
      <c r="Q31" s="39"/>
      <c r="R31" s="39"/>
      <c r="S31" s="39"/>
    </row>
    <row r="32" spans="1:19" ht="21" customHeight="1">
      <c r="A32" s="39"/>
      <c r="B32" s="39"/>
      <c r="C32" s="39"/>
      <c r="D32" s="39"/>
      <c r="E32" s="1"/>
      <c r="F32" s="39"/>
      <c r="G32" s="39"/>
      <c r="H32" s="39"/>
      <c r="I32" s="39"/>
      <c r="J32" s="1"/>
      <c r="K32" s="39"/>
      <c r="L32" s="39"/>
      <c r="M32" s="39"/>
      <c r="N32" s="39"/>
      <c r="O32" s="1"/>
      <c r="P32" s="39"/>
      <c r="Q32" s="39"/>
      <c r="R32" s="39"/>
      <c r="S32" s="39"/>
    </row>
    <row r="33" spans="1:19" ht="21" customHeight="1">
      <c r="A33" s="39"/>
      <c r="B33" s="39"/>
      <c r="C33" s="39"/>
      <c r="D33" s="39"/>
      <c r="E33" s="1"/>
      <c r="F33" s="39"/>
      <c r="G33" s="39"/>
      <c r="H33" s="39"/>
      <c r="I33" s="39"/>
      <c r="J33" s="1"/>
      <c r="K33" s="39"/>
      <c r="L33" s="39"/>
      <c r="M33" s="39"/>
      <c r="N33" s="39"/>
      <c r="O33" s="1"/>
      <c r="P33" s="39"/>
      <c r="Q33" s="39"/>
      <c r="R33" s="39"/>
      <c r="S33" s="39"/>
    </row>
    <row r="34" spans="1:19" ht="21" customHeight="1">
      <c r="A34" s="40"/>
      <c r="B34" s="40"/>
      <c r="C34" s="40"/>
      <c r="D34" s="40"/>
      <c r="E34" s="1"/>
      <c r="F34" s="40"/>
      <c r="G34" s="40"/>
      <c r="H34" s="40"/>
      <c r="I34" s="40"/>
      <c r="J34" s="1"/>
      <c r="K34" s="40"/>
      <c r="L34" s="40"/>
      <c r="M34" s="40"/>
      <c r="N34" s="40"/>
      <c r="O34" s="1"/>
      <c r="P34" s="40"/>
      <c r="Q34" s="40"/>
      <c r="R34" s="40"/>
      <c r="S34" s="40"/>
    </row>
    <row r="35" spans="1:19" ht="21" customHeight="1">
      <c r="A35" s="40"/>
      <c r="B35" s="40"/>
      <c r="C35" s="40"/>
      <c r="D35" s="40"/>
      <c r="E35" s="1"/>
      <c r="F35" s="40"/>
      <c r="G35" s="40"/>
      <c r="H35" s="40"/>
      <c r="I35" s="40"/>
      <c r="J35" s="1"/>
      <c r="K35" s="40"/>
      <c r="L35" s="40"/>
      <c r="M35" s="40"/>
      <c r="N35" s="40"/>
      <c r="O35" s="1"/>
      <c r="P35" s="40"/>
      <c r="Q35" s="40"/>
      <c r="R35" s="40"/>
      <c r="S35" s="40"/>
    </row>
    <row r="36" spans="1:19" ht="21" customHeight="1">
      <c r="A36" s="40"/>
      <c r="B36" s="40"/>
      <c r="C36" s="40"/>
      <c r="D36" s="40"/>
      <c r="E36" s="1"/>
      <c r="F36" s="40"/>
      <c r="G36" s="40"/>
      <c r="H36" s="40"/>
      <c r="I36" s="40"/>
      <c r="J36" s="1"/>
      <c r="K36" s="40"/>
      <c r="L36" s="40"/>
      <c r="M36" s="40"/>
      <c r="N36" s="40"/>
      <c r="O36" s="1"/>
      <c r="P36" s="40"/>
      <c r="Q36" s="40"/>
      <c r="R36" s="40"/>
      <c r="S36" s="40"/>
    </row>
    <row r="37" spans="1:19" ht="21" customHeight="1">
      <c r="A37" s="40"/>
      <c r="B37" s="40"/>
      <c r="C37" s="40"/>
      <c r="D37" s="40"/>
      <c r="E37" s="1"/>
      <c r="F37" s="40"/>
      <c r="G37" s="40"/>
      <c r="H37" s="40"/>
      <c r="I37" s="40"/>
      <c r="J37" s="1"/>
      <c r="K37" s="40"/>
      <c r="L37" s="40"/>
      <c r="M37" s="40"/>
      <c r="N37" s="40"/>
      <c r="O37" s="1"/>
      <c r="P37" s="40"/>
      <c r="Q37" s="40"/>
      <c r="R37" s="40"/>
      <c r="S37" s="40"/>
    </row>
    <row r="38" spans="1:19" ht="21" customHeight="1">
      <c r="A38" s="40"/>
      <c r="B38" s="40"/>
      <c r="C38" s="40"/>
      <c r="D38" s="40"/>
      <c r="E38" s="1"/>
      <c r="F38" s="40"/>
      <c r="G38" s="40"/>
      <c r="H38" s="40"/>
      <c r="I38" s="40"/>
      <c r="J38" s="1"/>
      <c r="K38" s="40"/>
      <c r="L38" s="40"/>
      <c r="M38" s="40"/>
      <c r="N38" s="40"/>
      <c r="O38" s="1"/>
      <c r="P38" s="40"/>
      <c r="Q38" s="40"/>
      <c r="R38" s="40"/>
      <c r="S38" s="40"/>
    </row>
    <row r="39" spans="1:19" ht="21" customHeight="1">
      <c r="A39" s="40"/>
      <c r="B39" s="40"/>
      <c r="C39" s="40"/>
      <c r="D39" s="40"/>
      <c r="E39" s="1"/>
      <c r="F39" s="40"/>
      <c r="G39" s="40"/>
      <c r="H39" s="40"/>
      <c r="I39" s="40"/>
      <c r="J39" s="1"/>
      <c r="K39" s="40"/>
      <c r="L39" s="40"/>
      <c r="M39" s="40"/>
      <c r="N39" s="40"/>
      <c r="O39" s="1"/>
      <c r="P39" s="40"/>
      <c r="Q39" s="40"/>
      <c r="R39" s="40"/>
      <c r="S39" s="40"/>
    </row>
    <row r="40" spans="1:19" ht="21" customHeight="1">
      <c r="A40" s="41" t="s">
        <v>337</v>
      </c>
      <c r="B40" s="41"/>
      <c r="C40" s="41"/>
      <c r="D40" s="41"/>
      <c r="E40" s="1"/>
      <c r="F40" s="41" t="s">
        <v>337</v>
      </c>
      <c r="G40" s="41"/>
      <c r="H40" s="41"/>
      <c r="I40" s="41"/>
      <c r="J40" s="1"/>
      <c r="K40" s="41" t="s">
        <v>340</v>
      </c>
      <c r="L40" s="41"/>
      <c r="M40" s="41"/>
      <c r="N40" s="41"/>
      <c r="O40" s="1"/>
      <c r="P40" s="41" t="s">
        <v>342</v>
      </c>
      <c r="Q40" s="41"/>
      <c r="R40" s="41"/>
      <c r="S40" s="41"/>
    </row>
    <row r="41" spans="1:19" ht="21" customHeight="1">
      <c r="A41" s="17" t="str">
        <f>HYPERLINK("#'The 100'!B"&amp;(MATCH(9,'The 100'!$A$7:$A$106,0)+6),"View this entry →")</f>
        <v>View this entry →</v>
      </c>
      <c r="B41" s="17"/>
      <c r="C41" s="17"/>
      <c r="D41" s="17"/>
      <c r="E41" s="1"/>
      <c r="F41" s="17" t="str">
        <f>HYPERLINK("#'The 100'!B"&amp;(MATCH(10,'The 100'!$A$7:$A$106,0)+6),"View this entry →")</f>
        <v>View this entry →</v>
      </c>
      <c r="G41" s="17"/>
      <c r="H41" s="17"/>
      <c r="I41" s="17"/>
      <c r="J41" s="1"/>
      <c r="K41" s="17" t="str">
        <f>HYPERLINK("#'The 100'!B"&amp;(MATCH(11,'The 100'!$A$7:$A$106,0)+6),"View this entry →")</f>
        <v>View this entry →</v>
      </c>
      <c r="L41" s="17"/>
      <c r="M41" s="17"/>
      <c r="N41" s="17"/>
      <c r="O41" s="1"/>
      <c r="P41" s="17" t="str">
        <f>HYPERLINK("#'The 100'!B"&amp;(MATCH(12,'The 100'!$A$7:$A$106,0)+6),"View this entry →")</f>
        <v>View this entry →</v>
      </c>
      <c r="Q41" s="17"/>
      <c r="R41" s="17"/>
      <c r="S41" s="17"/>
    </row>
    <row r="42" spans="1:19" ht="21" customHeight="1">
      <c r="A42" s="1"/>
      <c r="B42" s="1"/>
      <c r="C42" s="1"/>
      <c r="D42" s="1"/>
      <c r="E42" s="1"/>
      <c r="F42" s="1"/>
      <c r="G42" s="1"/>
      <c r="H42" s="1"/>
      <c r="I42" s="1"/>
      <c r="J42" s="1"/>
      <c r="K42" s="1"/>
      <c r="L42" s="1"/>
      <c r="M42" s="1"/>
      <c r="N42" s="1"/>
      <c r="O42" s="1"/>
      <c r="P42" s="1"/>
      <c r="Q42" s="1"/>
      <c r="R42" s="1"/>
      <c r="S42" s="1"/>
    </row>
    <row r="43" spans="1:19" ht="21" customHeight="1">
      <c r="A43" s="39" t="s">
        <v>343</v>
      </c>
      <c r="B43" s="39"/>
      <c r="C43" s="39"/>
      <c r="D43" s="39"/>
      <c r="E43" s="1"/>
      <c r="F43" s="39" t="s">
        <v>345</v>
      </c>
      <c r="G43" s="39"/>
      <c r="H43" s="39"/>
      <c r="I43" s="39"/>
      <c r="J43" s="1"/>
      <c r="K43" s="39" t="s">
        <v>346</v>
      </c>
      <c r="L43" s="39"/>
      <c r="M43" s="39"/>
      <c r="N43" s="39"/>
      <c r="O43" s="1"/>
      <c r="P43" s="39" t="s">
        <v>348</v>
      </c>
      <c r="Q43" s="39"/>
      <c r="R43" s="39"/>
      <c r="S43" s="39"/>
    </row>
    <row r="44" spans="1:19" ht="21" customHeight="1">
      <c r="A44" s="39"/>
      <c r="B44" s="39"/>
      <c r="C44" s="39"/>
      <c r="D44" s="39"/>
      <c r="E44" s="1"/>
      <c r="F44" s="39"/>
      <c r="G44" s="39"/>
      <c r="H44" s="39"/>
      <c r="I44" s="39"/>
      <c r="J44" s="1"/>
      <c r="K44" s="39"/>
      <c r="L44" s="39"/>
      <c r="M44" s="39"/>
      <c r="N44" s="39"/>
      <c r="O44" s="1"/>
      <c r="P44" s="39"/>
      <c r="Q44" s="39"/>
      <c r="R44" s="39"/>
      <c r="S44" s="39"/>
    </row>
    <row r="45" spans="1:19" ht="21" customHeight="1">
      <c r="A45" s="39"/>
      <c r="B45" s="39"/>
      <c r="C45" s="39"/>
      <c r="D45" s="39"/>
      <c r="E45" s="1"/>
      <c r="F45" s="39"/>
      <c r="G45" s="39"/>
      <c r="H45" s="39"/>
      <c r="I45" s="39"/>
      <c r="J45" s="1"/>
      <c r="K45" s="39"/>
      <c r="L45" s="39"/>
      <c r="M45" s="39"/>
      <c r="N45" s="39"/>
      <c r="O45" s="1"/>
      <c r="P45" s="39"/>
      <c r="Q45" s="39"/>
      <c r="R45" s="39"/>
      <c r="S45" s="39"/>
    </row>
    <row r="46" spans="1:19" ht="21" customHeight="1">
      <c r="A46" s="40"/>
      <c r="B46" s="40"/>
      <c r="C46" s="40"/>
      <c r="D46" s="40"/>
      <c r="E46" s="1"/>
      <c r="F46" s="40"/>
      <c r="G46" s="40"/>
      <c r="H46" s="40"/>
      <c r="I46" s="40"/>
      <c r="J46" s="1"/>
      <c r="K46" s="40"/>
      <c r="L46" s="40"/>
      <c r="M46" s="40"/>
      <c r="N46" s="40"/>
      <c r="O46" s="1"/>
      <c r="P46" s="40"/>
      <c r="Q46" s="40"/>
      <c r="R46" s="40"/>
      <c r="S46" s="40"/>
    </row>
    <row r="47" spans="1:19" ht="21" customHeight="1">
      <c r="A47" s="40"/>
      <c r="B47" s="40"/>
      <c r="C47" s="40"/>
      <c r="D47" s="40"/>
      <c r="E47" s="1"/>
      <c r="F47" s="40"/>
      <c r="G47" s="40"/>
      <c r="H47" s="40"/>
      <c r="I47" s="40"/>
      <c r="J47" s="1"/>
      <c r="K47" s="40"/>
      <c r="L47" s="40"/>
      <c r="M47" s="40"/>
      <c r="N47" s="40"/>
      <c r="O47" s="1"/>
      <c r="P47" s="40"/>
      <c r="Q47" s="40"/>
      <c r="R47" s="40"/>
      <c r="S47" s="40"/>
    </row>
    <row r="48" spans="1:19" ht="21" customHeight="1">
      <c r="A48" s="40"/>
      <c r="B48" s="40"/>
      <c r="C48" s="40"/>
      <c r="D48" s="40"/>
      <c r="E48" s="1"/>
      <c r="F48" s="40"/>
      <c r="G48" s="40"/>
      <c r="H48" s="40"/>
      <c r="I48" s="40"/>
      <c r="J48" s="1"/>
      <c r="K48" s="40"/>
      <c r="L48" s="40"/>
      <c r="M48" s="40"/>
      <c r="N48" s="40"/>
      <c r="O48" s="1"/>
      <c r="P48" s="40"/>
      <c r="Q48" s="40"/>
      <c r="R48" s="40"/>
      <c r="S48" s="40"/>
    </row>
    <row r="49" spans="1:19" ht="21" customHeight="1">
      <c r="A49" s="40"/>
      <c r="B49" s="40"/>
      <c r="C49" s="40"/>
      <c r="D49" s="40"/>
      <c r="E49" s="1"/>
      <c r="F49" s="40"/>
      <c r="G49" s="40"/>
      <c r="H49" s="40"/>
      <c r="I49" s="40"/>
      <c r="J49" s="1"/>
      <c r="K49" s="40"/>
      <c r="L49" s="40"/>
      <c r="M49" s="40"/>
      <c r="N49" s="40"/>
      <c r="O49" s="1"/>
      <c r="P49" s="40"/>
      <c r="Q49" s="40"/>
      <c r="R49" s="40"/>
      <c r="S49" s="40"/>
    </row>
    <row r="50" spans="1:19" ht="21" customHeight="1">
      <c r="A50" s="40"/>
      <c r="B50" s="40"/>
      <c r="C50" s="40"/>
      <c r="D50" s="40"/>
      <c r="E50" s="1"/>
      <c r="F50" s="40"/>
      <c r="G50" s="40"/>
      <c r="H50" s="40"/>
      <c r="I50" s="40"/>
      <c r="J50" s="1"/>
      <c r="K50" s="40"/>
      <c r="L50" s="40"/>
      <c r="M50" s="40"/>
      <c r="N50" s="40"/>
      <c r="O50" s="1"/>
      <c r="P50" s="40"/>
      <c r="Q50" s="40"/>
      <c r="R50" s="40"/>
      <c r="S50" s="40"/>
    </row>
    <row r="51" spans="1:19" ht="21" customHeight="1">
      <c r="A51" s="40"/>
      <c r="B51" s="40"/>
      <c r="C51" s="40"/>
      <c r="D51" s="40"/>
      <c r="E51" s="1"/>
      <c r="F51" s="40"/>
      <c r="G51" s="40"/>
      <c r="H51" s="40"/>
      <c r="I51" s="40"/>
      <c r="J51" s="1"/>
      <c r="K51" s="40"/>
      <c r="L51" s="40"/>
      <c r="M51" s="40"/>
      <c r="N51" s="40"/>
      <c r="O51" s="1"/>
      <c r="P51" s="40"/>
      <c r="Q51" s="40"/>
      <c r="R51" s="40"/>
      <c r="S51" s="40"/>
    </row>
    <row r="52" spans="1:19" ht="21" customHeight="1">
      <c r="A52" s="41" t="s">
        <v>344</v>
      </c>
      <c r="B52" s="41"/>
      <c r="C52" s="41"/>
      <c r="D52" s="41"/>
      <c r="E52" s="1"/>
      <c r="F52" s="41" t="s">
        <v>340</v>
      </c>
      <c r="G52" s="41"/>
      <c r="H52" s="41"/>
      <c r="I52" s="41"/>
      <c r="J52" s="1"/>
      <c r="K52" s="41" t="s">
        <v>347</v>
      </c>
      <c r="L52" s="41"/>
      <c r="M52" s="41"/>
      <c r="N52" s="41"/>
      <c r="O52" s="1"/>
      <c r="P52" s="41" t="s">
        <v>349</v>
      </c>
      <c r="Q52" s="41"/>
      <c r="R52" s="41"/>
      <c r="S52" s="41"/>
    </row>
    <row r="53" spans="1:19" ht="21" customHeight="1">
      <c r="A53" s="17" t="str">
        <f>HYPERLINK("#'The 100'!B"&amp;(MATCH(13,'The 100'!$A$7:$A$106,0)+6),"View this entry →")</f>
        <v>View this entry →</v>
      </c>
      <c r="B53" s="17"/>
      <c r="C53" s="17"/>
      <c r="D53" s="17"/>
      <c r="E53" s="1"/>
      <c r="F53" s="17" t="str">
        <f>HYPERLINK("#'The 100'!B"&amp;(MATCH(14,'The 100'!$A$7:$A$106,0)+6),"View this entry →")</f>
        <v>View this entry →</v>
      </c>
      <c r="G53" s="17"/>
      <c r="H53" s="17"/>
      <c r="I53" s="17"/>
      <c r="J53" s="1"/>
      <c r="K53" s="17" t="str">
        <f>HYPERLINK("#'The 100'!B"&amp;(MATCH(15,'The 100'!$A$7:$A$106,0)+6),"View this entry →")</f>
        <v>View this entry →</v>
      </c>
      <c r="L53" s="17"/>
      <c r="M53" s="17"/>
      <c r="N53" s="17"/>
      <c r="O53" s="1"/>
      <c r="P53" s="17" t="str">
        <f>HYPERLINK("#'The 100'!B"&amp;(MATCH(16,'The 100'!$A$7:$A$106,0)+6),"View this entry →")</f>
        <v>View this entry →</v>
      </c>
      <c r="Q53" s="17"/>
      <c r="R53" s="17"/>
      <c r="S53" s="17"/>
    </row>
    <row r="54" spans="1:19" ht="21" customHeight="1">
      <c r="A54" s="1"/>
      <c r="B54" s="1"/>
      <c r="C54" s="1"/>
      <c r="D54" s="1"/>
      <c r="E54" s="1"/>
      <c r="F54" s="1"/>
      <c r="G54" s="1"/>
      <c r="H54" s="1"/>
      <c r="I54" s="1"/>
      <c r="J54" s="1"/>
      <c r="K54" s="1"/>
      <c r="L54" s="1"/>
      <c r="M54" s="1"/>
      <c r="N54" s="1"/>
      <c r="O54" s="1"/>
      <c r="P54" s="1"/>
      <c r="Q54" s="1"/>
      <c r="R54" s="1"/>
      <c r="S54" s="1"/>
    </row>
    <row r="55" spans="1:19" ht="21" customHeight="1">
      <c r="A55" s="39" t="s">
        <v>350</v>
      </c>
      <c r="B55" s="39"/>
      <c r="C55" s="39"/>
      <c r="D55" s="39"/>
      <c r="E55" s="1"/>
      <c r="F55" s="39" t="s">
        <v>351</v>
      </c>
      <c r="G55" s="39"/>
      <c r="H55" s="39"/>
      <c r="I55" s="39"/>
      <c r="J55" s="1"/>
      <c r="K55" s="39" t="s">
        <v>353</v>
      </c>
      <c r="L55" s="39"/>
      <c r="M55" s="39"/>
      <c r="N55" s="39"/>
      <c r="O55" s="1"/>
      <c r="P55" s="39" t="s">
        <v>355</v>
      </c>
      <c r="Q55" s="39"/>
      <c r="R55" s="39"/>
      <c r="S55" s="39"/>
    </row>
    <row r="56" spans="1:19" ht="21" customHeight="1">
      <c r="A56" s="39"/>
      <c r="B56" s="39"/>
      <c r="C56" s="39"/>
      <c r="D56" s="39"/>
      <c r="E56" s="1"/>
      <c r="F56" s="39"/>
      <c r="G56" s="39"/>
      <c r="H56" s="39"/>
      <c r="I56" s="39"/>
      <c r="J56" s="1"/>
      <c r="K56" s="39"/>
      <c r="L56" s="39"/>
      <c r="M56" s="39"/>
      <c r="N56" s="39"/>
      <c r="O56" s="1"/>
      <c r="P56" s="39"/>
      <c r="Q56" s="39"/>
      <c r="R56" s="39"/>
      <c r="S56" s="39"/>
    </row>
    <row r="57" spans="1:19" ht="21" customHeight="1">
      <c r="A57" s="39"/>
      <c r="B57" s="39"/>
      <c r="C57" s="39"/>
      <c r="D57" s="39"/>
      <c r="E57" s="1"/>
      <c r="F57" s="39"/>
      <c r="G57" s="39"/>
      <c r="H57" s="39"/>
      <c r="I57" s="39"/>
      <c r="J57" s="1"/>
      <c r="K57" s="39"/>
      <c r="L57" s="39"/>
      <c r="M57" s="39"/>
      <c r="N57" s="39"/>
      <c r="O57" s="1"/>
      <c r="P57" s="39"/>
      <c r="Q57" s="39"/>
      <c r="R57" s="39"/>
      <c r="S57" s="39"/>
    </row>
    <row r="58" spans="1:19" ht="21" customHeight="1">
      <c r="A58" s="40"/>
      <c r="B58" s="40"/>
      <c r="C58" s="40"/>
      <c r="D58" s="40"/>
      <c r="E58" s="1"/>
      <c r="F58" s="40"/>
      <c r="G58" s="40"/>
      <c r="H58" s="40"/>
      <c r="I58" s="40"/>
      <c r="J58" s="1"/>
      <c r="K58" s="40"/>
      <c r="L58" s="40"/>
      <c r="M58" s="40"/>
      <c r="N58" s="40"/>
      <c r="O58" s="1"/>
      <c r="P58" s="40"/>
      <c r="Q58" s="40"/>
      <c r="R58" s="40"/>
      <c r="S58" s="40"/>
    </row>
    <row r="59" spans="1:19" ht="21" customHeight="1">
      <c r="A59" s="40"/>
      <c r="B59" s="40"/>
      <c r="C59" s="40"/>
      <c r="D59" s="40"/>
      <c r="E59" s="1"/>
      <c r="F59" s="40"/>
      <c r="G59" s="40"/>
      <c r="H59" s="40"/>
      <c r="I59" s="40"/>
      <c r="J59" s="1"/>
      <c r="K59" s="40"/>
      <c r="L59" s="40"/>
      <c r="M59" s="40"/>
      <c r="N59" s="40"/>
      <c r="O59" s="1"/>
      <c r="P59" s="40"/>
      <c r="Q59" s="40"/>
      <c r="R59" s="40"/>
      <c r="S59" s="40"/>
    </row>
    <row r="60" spans="1:19" ht="21" customHeight="1">
      <c r="A60" s="40"/>
      <c r="B60" s="40"/>
      <c r="C60" s="40"/>
      <c r="D60" s="40"/>
      <c r="E60" s="1"/>
      <c r="F60" s="40"/>
      <c r="G60" s="40"/>
      <c r="H60" s="40"/>
      <c r="I60" s="40"/>
      <c r="J60" s="1"/>
      <c r="K60" s="40"/>
      <c r="L60" s="40"/>
      <c r="M60" s="40"/>
      <c r="N60" s="40"/>
      <c r="O60" s="1"/>
      <c r="P60" s="40"/>
      <c r="Q60" s="40"/>
      <c r="R60" s="40"/>
      <c r="S60" s="40"/>
    </row>
    <row r="61" spans="1:19" ht="21" customHeight="1">
      <c r="A61" s="40"/>
      <c r="B61" s="40"/>
      <c r="C61" s="40"/>
      <c r="D61" s="40"/>
      <c r="E61" s="1"/>
      <c r="F61" s="40"/>
      <c r="G61" s="40"/>
      <c r="H61" s="40"/>
      <c r="I61" s="40"/>
      <c r="J61" s="1"/>
      <c r="K61" s="40"/>
      <c r="L61" s="40"/>
      <c r="M61" s="40"/>
      <c r="N61" s="40"/>
      <c r="O61" s="1"/>
      <c r="P61" s="40"/>
      <c r="Q61" s="40"/>
      <c r="R61" s="40"/>
      <c r="S61" s="40"/>
    </row>
    <row r="62" spans="1:19" ht="21" customHeight="1">
      <c r="A62" s="40"/>
      <c r="B62" s="40"/>
      <c r="C62" s="40"/>
      <c r="D62" s="40"/>
      <c r="E62" s="1"/>
      <c r="F62" s="40"/>
      <c r="G62" s="40"/>
      <c r="H62" s="40"/>
      <c r="I62" s="40"/>
      <c r="J62" s="1"/>
      <c r="K62" s="40"/>
      <c r="L62" s="40"/>
      <c r="M62" s="40"/>
      <c r="N62" s="40"/>
      <c r="O62" s="1"/>
      <c r="P62" s="40"/>
      <c r="Q62" s="40"/>
      <c r="R62" s="40"/>
      <c r="S62" s="40"/>
    </row>
    <row r="63" spans="1:19" ht="21" customHeight="1">
      <c r="A63" s="40"/>
      <c r="B63" s="40"/>
      <c r="C63" s="40"/>
      <c r="D63" s="40"/>
      <c r="E63" s="1"/>
      <c r="F63" s="40"/>
      <c r="G63" s="40"/>
      <c r="H63" s="40"/>
      <c r="I63" s="40"/>
      <c r="J63" s="1"/>
      <c r="K63" s="40"/>
      <c r="L63" s="40"/>
      <c r="M63" s="40"/>
      <c r="N63" s="40"/>
      <c r="O63" s="1"/>
      <c r="P63" s="40"/>
      <c r="Q63" s="40"/>
      <c r="R63" s="40"/>
      <c r="S63" s="40"/>
    </row>
    <row r="64" spans="1:19" ht="21" customHeight="1">
      <c r="A64" s="41" t="s">
        <v>347</v>
      </c>
      <c r="B64" s="41"/>
      <c r="C64" s="41"/>
      <c r="D64" s="41"/>
      <c r="E64" s="1"/>
      <c r="F64" s="41" t="s">
        <v>352</v>
      </c>
      <c r="G64" s="41"/>
      <c r="H64" s="41"/>
      <c r="I64" s="41"/>
      <c r="J64" s="1"/>
      <c r="K64" s="41" t="s">
        <v>354</v>
      </c>
      <c r="L64" s="41"/>
      <c r="M64" s="41"/>
      <c r="N64" s="41"/>
      <c r="O64" s="1"/>
      <c r="P64" s="41" t="s">
        <v>356</v>
      </c>
      <c r="Q64" s="41"/>
      <c r="R64" s="41"/>
      <c r="S64" s="41"/>
    </row>
    <row r="65" spans="1:19" ht="21" customHeight="1">
      <c r="A65" s="17" t="str">
        <f>HYPERLINK("#'The 100'!B"&amp;(MATCH(17,'The 100'!$A$7:$A$106,0)+6),"View this entry →")</f>
        <v>View this entry →</v>
      </c>
      <c r="B65" s="17"/>
      <c r="C65" s="17"/>
      <c r="D65" s="17"/>
      <c r="E65" s="1"/>
      <c r="F65" s="17" t="str">
        <f>HYPERLINK("#'The 100'!B"&amp;(MATCH(18,'The 100'!$A$7:$A$106,0)+6),"View this entry →")</f>
        <v>View this entry →</v>
      </c>
      <c r="G65" s="17"/>
      <c r="H65" s="17"/>
      <c r="I65" s="17"/>
      <c r="J65" s="1"/>
      <c r="K65" s="17" t="str">
        <f>HYPERLINK("#'The 100'!B"&amp;(MATCH(19,'The 100'!$A$7:$A$106,0)+6),"View this entry →")</f>
        <v>View this entry →</v>
      </c>
      <c r="L65" s="17"/>
      <c r="M65" s="17"/>
      <c r="N65" s="17"/>
      <c r="O65" s="1"/>
      <c r="P65" s="17" t="str">
        <f>HYPERLINK("#'The 100'!B"&amp;(MATCH(20,'The 100'!$A$7:$A$106,0)+6),"View this entry →")</f>
        <v>View this entry →</v>
      </c>
      <c r="Q65" s="17"/>
      <c r="R65" s="17"/>
      <c r="S65" s="17"/>
    </row>
    <row r="66" spans="1:19" ht="21" customHeight="1">
      <c r="A66" s="1"/>
      <c r="B66" s="1"/>
      <c r="C66" s="1"/>
      <c r="D66" s="1"/>
      <c r="E66" s="1"/>
      <c r="F66" s="1"/>
      <c r="G66" s="1"/>
      <c r="H66" s="1"/>
      <c r="I66" s="1"/>
      <c r="J66" s="1"/>
      <c r="K66" s="1"/>
      <c r="L66" s="1"/>
      <c r="M66" s="1"/>
      <c r="N66" s="1"/>
      <c r="O66" s="1"/>
      <c r="P66" s="1"/>
      <c r="Q66" s="1"/>
      <c r="R66" s="1"/>
      <c r="S66" s="1"/>
    </row>
    <row r="67" spans="1:19" ht="21" customHeight="1">
      <c r="A67" s="39" t="s">
        <v>357</v>
      </c>
      <c r="B67" s="39"/>
      <c r="C67" s="39"/>
      <c r="D67" s="39"/>
      <c r="E67" s="1"/>
      <c r="F67" s="39" t="s">
        <v>358</v>
      </c>
      <c r="G67" s="39"/>
      <c r="H67" s="39"/>
      <c r="I67" s="39"/>
      <c r="J67" s="1"/>
      <c r="K67" s="39" t="s">
        <v>360</v>
      </c>
      <c r="L67" s="39"/>
      <c r="M67" s="39"/>
      <c r="N67" s="39"/>
      <c r="O67" s="1"/>
      <c r="P67" s="39" t="s">
        <v>361</v>
      </c>
      <c r="Q67" s="39"/>
      <c r="R67" s="39"/>
      <c r="S67" s="39"/>
    </row>
    <row r="68" spans="1:19" ht="21" customHeight="1">
      <c r="A68" s="39"/>
      <c r="B68" s="39"/>
      <c r="C68" s="39"/>
      <c r="D68" s="39"/>
      <c r="E68" s="1"/>
      <c r="F68" s="39"/>
      <c r="G68" s="39"/>
      <c r="H68" s="39"/>
      <c r="I68" s="39"/>
      <c r="J68" s="1"/>
      <c r="K68" s="39"/>
      <c r="L68" s="39"/>
      <c r="M68" s="39"/>
      <c r="N68" s="39"/>
      <c r="O68" s="1"/>
      <c r="P68" s="39"/>
      <c r="Q68" s="39"/>
      <c r="R68" s="39"/>
      <c r="S68" s="39"/>
    </row>
    <row r="69" spans="1:19" ht="21" customHeight="1">
      <c r="A69" s="39"/>
      <c r="B69" s="39"/>
      <c r="C69" s="39"/>
      <c r="D69" s="39"/>
      <c r="E69" s="1"/>
      <c r="F69" s="39"/>
      <c r="G69" s="39"/>
      <c r="H69" s="39"/>
      <c r="I69" s="39"/>
      <c r="J69" s="1"/>
      <c r="K69" s="39"/>
      <c r="L69" s="39"/>
      <c r="M69" s="39"/>
      <c r="N69" s="39"/>
      <c r="O69" s="1"/>
      <c r="P69" s="39"/>
      <c r="Q69" s="39"/>
      <c r="R69" s="39"/>
      <c r="S69" s="39"/>
    </row>
    <row r="70" spans="1:19" ht="21" customHeight="1">
      <c r="A70" s="40"/>
      <c r="B70" s="40"/>
      <c r="C70" s="40"/>
      <c r="D70" s="40"/>
      <c r="E70" s="1"/>
      <c r="F70" s="40"/>
      <c r="G70" s="40"/>
      <c r="H70" s="40"/>
      <c r="I70" s="40"/>
      <c r="J70" s="1"/>
      <c r="K70" s="40"/>
      <c r="L70" s="40"/>
      <c r="M70" s="40"/>
      <c r="N70" s="40"/>
      <c r="O70" s="1"/>
      <c r="P70" s="40"/>
      <c r="Q70" s="40"/>
      <c r="R70" s="40"/>
      <c r="S70" s="40"/>
    </row>
    <row r="71" spans="1:19" ht="21" customHeight="1">
      <c r="A71" s="40"/>
      <c r="B71" s="40"/>
      <c r="C71" s="40"/>
      <c r="D71" s="40"/>
      <c r="E71" s="1"/>
      <c r="F71" s="40"/>
      <c r="G71" s="40"/>
      <c r="H71" s="40"/>
      <c r="I71" s="40"/>
      <c r="J71" s="1"/>
      <c r="K71" s="40"/>
      <c r="L71" s="40"/>
      <c r="M71" s="40"/>
      <c r="N71" s="40"/>
      <c r="O71" s="1"/>
      <c r="P71" s="40"/>
      <c r="Q71" s="40"/>
      <c r="R71" s="40"/>
      <c r="S71" s="40"/>
    </row>
    <row r="72" spans="1:19" ht="21" customHeight="1">
      <c r="A72" s="40"/>
      <c r="B72" s="40"/>
      <c r="C72" s="40"/>
      <c r="D72" s="40"/>
      <c r="E72" s="1"/>
      <c r="F72" s="40"/>
      <c r="G72" s="40"/>
      <c r="H72" s="40"/>
      <c r="I72" s="40"/>
      <c r="J72" s="1"/>
      <c r="K72" s="40"/>
      <c r="L72" s="40"/>
      <c r="M72" s="40"/>
      <c r="N72" s="40"/>
      <c r="O72" s="1"/>
      <c r="P72" s="40"/>
      <c r="Q72" s="40"/>
      <c r="R72" s="40"/>
      <c r="S72" s="40"/>
    </row>
    <row r="73" spans="1:19" ht="21" customHeight="1">
      <c r="A73" s="40"/>
      <c r="B73" s="40"/>
      <c r="C73" s="40"/>
      <c r="D73" s="40"/>
      <c r="E73" s="1"/>
      <c r="F73" s="40"/>
      <c r="G73" s="40"/>
      <c r="H73" s="40"/>
      <c r="I73" s="40"/>
      <c r="J73" s="1"/>
      <c r="K73" s="40"/>
      <c r="L73" s="40"/>
      <c r="M73" s="40"/>
      <c r="N73" s="40"/>
      <c r="O73" s="1"/>
      <c r="P73" s="40"/>
      <c r="Q73" s="40"/>
      <c r="R73" s="40"/>
      <c r="S73" s="40"/>
    </row>
    <row r="74" spans="1:19" ht="21" customHeight="1">
      <c r="A74" s="40"/>
      <c r="B74" s="40"/>
      <c r="C74" s="40"/>
      <c r="D74" s="40"/>
      <c r="E74" s="1"/>
      <c r="F74" s="40"/>
      <c r="G74" s="40"/>
      <c r="H74" s="40"/>
      <c r="I74" s="40"/>
      <c r="J74" s="1"/>
      <c r="K74" s="40"/>
      <c r="L74" s="40"/>
      <c r="M74" s="40"/>
      <c r="N74" s="40"/>
      <c r="O74" s="1"/>
      <c r="P74" s="40"/>
      <c r="Q74" s="40"/>
      <c r="R74" s="40"/>
      <c r="S74" s="40"/>
    </row>
    <row r="75" spans="1:19" ht="21" customHeight="1">
      <c r="A75" s="40"/>
      <c r="B75" s="40"/>
      <c r="C75" s="40"/>
      <c r="D75" s="40"/>
      <c r="E75" s="1"/>
      <c r="F75" s="40"/>
      <c r="G75" s="40"/>
      <c r="H75" s="40"/>
      <c r="I75" s="40"/>
      <c r="J75" s="1"/>
      <c r="K75" s="40"/>
      <c r="L75" s="40"/>
      <c r="M75" s="40"/>
      <c r="N75" s="40"/>
      <c r="O75" s="1"/>
      <c r="P75" s="40"/>
      <c r="Q75" s="40"/>
      <c r="R75" s="40"/>
      <c r="S75" s="40"/>
    </row>
    <row r="76" spans="1:19" ht="21" customHeight="1">
      <c r="A76" s="41" t="s">
        <v>334</v>
      </c>
      <c r="B76" s="41"/>
      <c r="C76" s="41"/>
      <c r="D76" s="41"/>
      <c r="E76" s="1"/>
      <c r="F76" s="41" t="s">
        <v>359</v>
      </c>
      <c r="G76" s="41"/>
      <c r="H76" s="41"/>
      <c r="I76" s="41"/>
      <c r="J76" s="1"/>
      <c r="K76" s="41" t="s">
        <v>337</v>
      </c>
      <c r="L76" s="41"/>
      <c r="M76" s="41"/>
      <c r="N76" s="41"/>
      <c r="O76" s="1"/>
      <c r="P76" s="41" t="s">
        <v>340</v>
      </c>
      <c r="Q76" s="41"/>
      <c r="R76" s="41"/>
      <c r="S76" s="41"/>
    </row>
    <row r="77" spans="1:19" ht="21" customHeight="1">
      <c r="A77" s="17" t="str">
        <f>HYPERLINK("#'The 100'!B"&amp;(MATCH(21,'The 100'!$A$7:$A$106,0)+6),"View this entry →")</f>
        <v>View this entry →</v>
      </c>
      <c r="B77" s="17"/>
      <c r="C77" s="17"/>
      <c r="D77" s="17"/>
      <c r="E77" s="1"/>
      <c r="F77" s="17" t="str">
        <f>HYPERLINK("#'The 100'!B"&amp;(MATCH(22,'The 100'!$A$7:$A$106,0)+6),"View this entry →")</f>
        <v>View this entry →</v>
      </c>
      <c r="G77" s="17"/>
      <c r="H77" s="17"/>
      <c r="I77" s="17"/>
      <c r="J77" s="1"/>
      <c r="K77" s="17" t="str">
        <f>HYPERLINK("#'The 100'!B"&amp;(MATCH(23,'The 100'!$A$7:$A$106,0)+6),"View this entry →")</f>
        <v>View this entry →</v>
      </c>
      <c r="L77" s="17"/>
      <c r="M77" s="17"/>
      <c r="N77" s="17"/>
      <c r="O77" s="1"/>
      <c r="P77" s="17" t="str">
        <f>HYPERLINK("#'The 100'!B"&amp;(MATCH(24,'The 100'!$A$7:$A$106,0)+6),"View this entry →")</f>
        <v>View this entry →</v>
      </c>
      <c r="Q77" s="17"/>
      <c r="R77" s="17"/>
      <c r="S77" s="17"/>
    </row>
    <row r="78" spans="1:19" ht="21" customHeight="1">
      <c r="A78" s="1"/>
      <c r="B78" s="1"/>
      <c r="C78" s="1"/>
      <c r="D78" s="1"/>
      <c r="E78" s="1"/>
      <c r="F78" s="1"/>
      <c r="G78" s="1"/>
      <c r="H78" s="1"/>
      <c r="I78" s="1"/>
      <c r="J78" s="1"/>
      <c r="K78" s="1"/>
      <c r="L78" s="1"/>
      <c r="M78" s="1"/>
      <c r="N78" s="1"/>
      <c r="O78" s="1"/>
      <c r="P78" s="1"/>
      <c r="Q78" s="1"/>
      <c r="R78" s="1"/>
      <c r="S78" s="1"/>
    </row>
    <row r="79" spans="1:19" ht="21" customHeight="1">
      <c r="A79" s="39" t="s">
        <v>362</v>
      </c>
      <c r="B79" s="39"/>
      <c r="C79" s="39"/>
      <c r="D79" s="39"/>
      <c r="E79" s="1"/>
      <c r="F79" s="39" t="s">
        <v>363</v>
      </c>
      <c r="G79" s="39"/>
      <c r="H79" s="39"/>
      <c r="I79" s="39"/>
      <c r="J79" s="1"/>
      <c r="K79" s="39" t="s">
        <v>364</v>
      </c>
      <c r="L79" s="39"/>
      <c r="M79" s="39"/>
      <c r="N79" s="39"/>
      <c r="O79" s="1"/>
      <c r="P79" s="39" t="s">
        <v>365</v>
      </c>
      <c r="Q79" s="39"/>
      <c r="R79" s="39"/>
      <c r="S79" s="39"/>
    </row>
    <row r="80" spans="1:19" ht="21" customHeight="1">
      <c r="A80" s="39"/>
      <c r="B80" s="39"/>
      <c r="C80" s="39"/>
      <c r="D80" s="39"/>
      <c r="E80" s="1"/>
      <c r="F80" s="39"/>
      <c r="G80" s="39"/>
      <c r="H80" s="39"/>
      <c r="I80" s="39"/>
      <c r="J80" s="1"/>
      <c r="K80" s="39"/>
      <c r="L80" s="39"/>
      <c r="M80" s="39"/>
      <c r="N80" s="39"/>
      <c r="O80" s="1"/>
      <c r="P80" s="39"/>
      <c r="Q80" s="39"/>
      <c r="R80" s="39"/>
      <c r="S80" s="39"/>
    </row>
    <row r="81" spans="1:19" ht="21" customHeight="1">
      <c r="A81" s="39"/>
      <c r="B81" s="39"/>
      <c r="C81" s="39"/>
      <c r="D81" s="39"/>
      <c r="E81" s="1"/>
      <c r="F81" s="39"/>
      <c r="G81" s="39"/>
      <c r="H81" s="39"/>
      <c r="I81" s="39"/>
      <c r="J81" s="1"/>
      <c r="K81" s="39"/>
      <c r="L81" s="39"/>
      <c r="M81" s="39"/>
      <c r="N81" s="39"/>
      <c r="O81" s="1"/>
      <c r="P81" s="39"/>
      <c r="Q81" s="39"/>
      <c r="R81" s="39"/>
      <c r="S81" s="39"/>
    </row>
    <row r="82" spans="1:19" ht="21" customHeight="1">
      <c r="A82" s="40"/>
      <c r="B82" s="40"/>
      <c r="C82" s="40"/>
      <c r="D82" s="40"/>
      <c r="E82" s="1"/>
      <c r="F82" s="40"/>
      <c r="G82" s="40"/>
      <c r="H82" s="40"/>
      <c r="I82" s="40"/>
      <c r="J82" s="1"/>
      <c r="K82" s="40"/>
      <c r="L82" s="40"/>
      <c r="M82" s="40"/>
      <c r="N82" s="40"/>
      <c r="O82" s="1"/>
      <c r="P82" s="40"/>
      <c r="Q82" s="40"/>
      <c r="R82" s="40"/>
      <c r="S82" s="40"/>
    </row>
    <row r="83" spans="1:19" ht="21" customHeight="1">
      <c r="A83" s="40"/>
      <c r="B83" s="40"/>
      <c r="C83" s="40"/>
      <c r="D83" s="40"/>
      <c r="E83" s="1"/>
      <c r="F83" s="40"/>
      <c r="G83" s="40"/>
      <c r="H83" s="40"/>
      <c r="I83" s="40"/>
      <c r="J83" s="1"/>
      <c r="K83" s="40"/>
      <c r="L83" s="40"/>
      <c r="M83" s="40"/>
      <c r="N83" s="40"/>
      <c r="O83" s="1"/>
      <c r="P83" s="40"/>
      <c r="Q83" s="40"/>
      <c r="R83" s="40"/>
      <c r="S83" s="40"/>
    </row>
    <row r="84" spans="1:19" ht="21" customHeight="1">
      <c r="A84" s="40"/>
      <c r="B84" s="40"/>
      <c r="C84" s="40"/>
      <c r="D84" s="40"/>
      <c r="E84" s="1"/>
      <c r="F84" s="40"/>
      <c r="G84" s="40"/>
      <c r="H84" s="40"/>
      <c r="I84" s="40"/>
      <c r="J84" s="1"/>
      <c r="K84" s="40"/>
      <c r="L84" s="40"/>
      <c r="M84" s="40"/>
      <c r="N84" s="40"/>
      <c r="O84" s="1"/>
      <c r="P84" s="40"/>
      <c r="Q84" s="40"/>
      <c r="R84" s="40"/>
      <c r="S84" s="40"/>
    </row>
    <row r="85" spans="1:19" ht="21" customHeight="1">
      <c r="A85" s="40"/>
      <c r="B85" s="40"/>
      <c r="C85" s="40"/>
      <c r="D85" s="40"/>
      <c r="E85" s="1"/>
      <c r="F85" s="40"/>
      <c r="G85" s="40"/>
      <c r="H85" s="40"/>
      <c r="I85" s="40"/>
      <c r="J85" s="1"/>
      <c r="K85" s="40"/>
      <c r="L85" s="40"/>
      <c r="M85" s="40"/>
      <c r="N85" s="40"/>
      <c r="O85" s="1"/>
      <c r="P85" s="40"/>
      <c r="Q85" s="40"/>
      <c r="R85" s="40"/>
      <c r="S85" s="40"/>
    </row>
    <row r="86" spans="1:19" ht="21" customHeight="1">
      <c r="A86" s="40"/>
      <c r="B86" s="40"/>
      <c r="C86" s="40"/>
      <c r="D86" s="40"/>
      <c r="E86" s="1"/>
      <c r="F86" s="40"/>
      <c r="G86" s="40"/>
      <c r="H86" s="40"/>
      <c r="I86" s="40"/>
      <c r="J86" s="1"/>
      <c r="K86" s="40"/>
      <c r="L86" s="40"/>
      <c r="M86" s="40"/>
      <c r="N86" s="40"/>
      <c r="O86" s="1"/>
      <c r="P86" s="40"/>
      <c r="Q86" s="40"/>
      <c r="R86" s="40"/>
      <c r="S86" s="40"/>
    </row>
    <row r="87" spans="1:19" ht="21" customHeight="1">
      <c r="A87" s="40"/>
      <c r="B87" s="40"/>
      <c r="C87" s="40"/>
      <c r="D87" s="40"/>
      <c r="E87" s="1"/>
      <c r="F87" s="40"/>
      <c r="G87" s="40"/>
      <c r="H87" s="40"/>
      <c r="I87" s="40"/>
      <c r="J87" s="1"/>
      <c r="K87" s="40"/>
      <c r="L87" s="40"/>
      <c r="M87" s="40"/>
      <c r="N87" s="40"/>
      <c r="O87" s="1"/>
      <c r="P87" s="40"/>
      <c r="Q87" s="40"/>
      <c r="R87" s="40"/>
      <c r="S87" s="40"/>
    </row>
    <row r="88" spans="1:19" ht="21" customHeight="1">
      <c r="A88" s="41" t="s">
        <v>354</v>
      </c>
      <c r="B88" s="41"/>
      <c r="C88" s="41"/>
      <c r="D88" s="41"/>
      <c r="E88" s="1"/>
      <c r="F88" s="41" t="s">
        <v>352</v>
      </c>
      <c r="G88" s="41"/>
      <c r="H88" s="41"/>
      <c r="I88" s="41"/>
      <c r="J88" s="1"/>
      <c r="K88" s="41" t="s">
        <v>342</v>
      </c>
      <c r="L88" s="41"/>
      <c r="M88" s="41"/>
      <c r="N88" s="41"/>
      <c r="O88" s="1"/>
      <c r="P88" s="41" t="s">
        <v>342</v>
      </c>
      <c r="Q88" s="41"/>
      <c r="R88" s="41"/>
      <c r="S88" s="41"/>
    </row>
    <row r="89" spans="1:19" ht="21" customHeight="1">
      <c r="A89" s="17" t="str">
        <f>HYPERLINK("#'The 100'!B"&amp;(MATCH(25,'The 100'!$A$7:$A$106,0)+6),"View this entry →")</f>
        <v>View this entry →</v>
      </c>
      <c r="B89" s="17"/>
      <c r="C89" s="17"/>
      <c r="D89" s="17"/>
      <c r="E89" s="1"/>
      <c r="F89" s="17" t="str">
        <f>HYPERLINK("#'The 100'!B"&amp;(MATCH(26,'The 100'!$A$7:$A$106,0)+6),"View this entry →")</f>
        <v>View this entry →</v>
      </c>
      <c r="G89" s="17"/>
      <c r="H89" s="17"/>
      <c r="I89" s="17"/>
      <c r="J89" s="1"/>
      <c r="K89" s="17" t="str">
        <f>HYPERLINK("#'The 100'!B"&amp;(MATCH(27,'The 100'!$A$7:$A$106,0)+6),"View this entry →")</f>
        <v>View this entry →</v>
      </c>
      <c r="L89" s="17"/>
      <c r="M89" s="17"/>
      <c r="N89" s="17"/>
      <c r="O89" s="1"/>
      <c r="P89" s="17" t="str">
        <f>HYPERLINK("#'The 100'!B"&amp;(MATCH(28,'The 100'!$A$7:$A$106,0)+6),"View this entry →")</f>
        <v>View this entry →</v>
      </c>
      <c r="Q89" s="17"/>
      <c r="R89" s="17"/>
      <c r="S89" s="17"/>
    </row>
    <row r="90" spans="1:19" ht="21" customHeight="1">
      <c r="A90" s="1"/>
      <c r="B90" s="1"/>
      <c r="C90" s="1"/>
      <c r="D90" s="1"/>
      <c r="E90" s="1"/>
      <c r="F90" s="1"/>
      <c r="G90" s="1"/>
      <c r="H90" s="1"/>
      <c r="I90" s="1"/>
      <c r="J90" s="1"/>
      <c r="K90" s="1"/>
      <c r="L90" s="1"/>
      <c r="M90" s="1"/>
      <c r="N90" s="1"/>
      <c r="O90" s="1"/>
      <c r="P90" s="1"/>
      <c r="Q90" s="1"/>
      <c r="R90" s="1"/>
      <c r="S90" s="1"/>
    </row>
    <row r="91" spans="1:19" ht="21" customHeight="1">
      <c r="A91" s="39" t="s">
        <v>366</v>
      </c>
      <c r="B91" s="39"/>
      <c r="C91" s="39"/>
      <c r="D91" s="39"/>
      <c r="E91" s="1"/>
      <c r="F91" s="39" t="s">
        <v>368</v>
      </c>
      <c r="G91" s="39"/>
      <c r="H91" s="39"/>
      <c r="I91" s="39"/>
      <c r="J91" s="1"/>
      <c r="K91" s="39" t="s">
        <v>370</v>
      </c>
      <c r="L91" s="39"/>
      <c r="M91" s="39"/>
      <c r="N91" s="39"/>
      <c r="O91" s="1"/>
      <c r="P91" s="39" t="s">
        <v>371</v>
      </c>
      <c r="Q91" s="39"/>
      <c r="R91" s="39"/>
      <c r="S91" s="39"/>
    </row>
    <row r="92" spans="1:19" ht="21" customHeight="1">
      <c r="A92" s="39"/>
      <c r="B92" s="39"/>
      <c r="C92" s="39"/>
      <c r="D92" s="39"/>
      <c r="E92" s="1"/>
      <c r="F92" s="39"/>
      <c r="G92" s="39"/>
      <c r="H92" s="39"/>
      <c r="I92" s="39"/>
      <c r="J92" s="1"/>
      <c r="K92" s="39"/>
      <c r="L92" s="39"/>
      <c r="M92" s="39"/>
      <c r="N92" s="39"/>
      <c r="O92" s="1"/>
      <c r="P92" s="39"/>
      <c r="Q92" s="39"/>
      <c r="R92" s="39"/>
      <c r="S92" s="39"/>
    </row>
    <row r="93" spans="1:19" ht="21" customHeight="1">
      <c r="A93" s="39"/>
      <c r="B93" s="39"/>
      <c r="C93" s="39"/>
      <c r="D93" s="39"/>
      <c r="E93" s="1"/>
      <c r="F93" s="39"/>
      <c r="G93" s="39"/>
      <c r="H93" s="39"/>
      <c r="I93" s="39"/>
      <c r="J93" s="1"/>
      <c r="K93" s="39"/>
      <c r="L93" s="39"/>
      <c r="M93" s="39"/>
      <c r="N93" s="39"/>
      <c r="O93" s="1"/>
      <c r="P93" s="39"/>
      <c r="Q93" s="39"/>
      <c r="R93" s="39"/>
      <c r="S93" s="39"/>
    </row>
    <row r="94" spans="1:19" ht="21" customHeight="1">
      <c r="A94" s="40"/>
      <c r="B94" s="40"/>
      <c r="C94" s="40"/>
      <c r="D94" s="40"/>
      <c r="E94" s="1"/>
      <c r="F94" s="40"/>
      <c r="G94" s="40"/>
      <c r="H94" s="40"/>
      <c r="I94" s="40"/>
      <c r="J94" s="1"/>
      <c r="K94" s="40"/>
      <c r="L94" s="40"/>
      <c r="M94" s="40"/>
      <c r="N94" s="40"/>
      <c r="O94" s="1"/>
      <c r="P94" s="40"/>
      <c r="Q94" s="40"/>
      <c r="R94" s="40"/>
      <c r="S94" s="40"/>
    </row>
    <row r="95" spans="1:19" ht="21" customHeight="1">
      <c r="A95" s="40"/>
      <c r="B95" s="40"/>
      <c r="C95" s="40"/>
      <c r="D95" s="40"/>
      <c r="E95" s="1"/>
      <c r="F95" s="40"/>
      <c r="G95" s="40"/>
      <c r="H95" s="40"/>
      <c r="I95" s="40"/>
      <c r="J95" s="1"/>
      <c r="K95" s="40"/>
      <c r="L95" s="40"/>
      <c r="M95" s="40"/>
      <c r="N95" s="40"/>
      <c r="O95" s="1"/>
      <c r="P95" s="40"/>
      <c r="Q95" s="40"/>
      <c r="R95" s="40"/>
      <c r="S95" s="40"/>
    </row>
    <row r="96" spans="1:19" ht="21" customHeight="1">
      <c r="A96" s="40"/>
      <c r="B96" s="40"/>
      <c r="C96" s="40"/>
      <c r="D96" s="40"/>
      <c r="E96" s="1"/>
      <c r="F96" s="40"/>
      <c r="G96" s="40"/>
      <c r="H96" s="40"/>
      <c r="I96" s="40"/>
      <c r="J96" s="1"/>
      <c r="K96" s="40"/>
      <c r="L96" s="40"/>
      <c r="M96" s="40"/>
      <c r="N96" s="40"/>
      <c r="O96" s="1"/>
      <c r="P96" s="40"/>
      <c r="Q96" s="40"/>
      <c r="R96" s="40"/>
      <c r="S96" s="40"/>
    </row>
    <row r="97" spans="1:19" ht="21" customHeight="1">
      <c r="A97" s="40"/>
      <c r="B97" s="40"/>
      <c r="C97" s="40"/>
      <c r="D97" s="40"/>
      <c r="E97" s="1"/>
      <c r="F97" s="40"/>
      <c r="G97" s="40"/>
      <c r="H97" s="40"/>
      <c r="I97" s="40"/>
      <c r="J97" s="1"/>
      <c r="K97" s="40"/>
      <c r="L97" s="40"/>
      <c r="M97" s="40"/>
      <c r="N97" s="40"/>
      <c r="O97" s="1"/>
      <c r="P97" s="40"/>
      <c r="Q97" s="40"/>
      <c r="R97" s="40"/>
      <c r="S97" s="40"/>
    </row>
    <row r="98" spans="1:19" ht="21" customHeight="1">
      <c r="A98" s="40"/>
      <c r="B98" s="40"/>
      <c r="C98" s="40"/>
      <c r="D98" s="40"/>
      <c r="E98" s="1"/>
      <c r="F98" s="40"/>
      <c r="G98" s="40"/>
      <c r="H98" s="40"/>
      <c r="I98" s="40"/>
      <c r="J98" s="1"/>
      <c r="K98" s="40"/>
      <c r="L98" s="40"/>
      <c r="M98" s="40"/>
      <c r="N98" s="40"/>
      <c r="O98" s="1"/>
      <c r="P98" s="40"/>
      <c r="Q98" s="40"/>
      <c r="R98" s="40"/>
      <c r="S98" s="40"/>
    </row>
    <row r="99" spans="1:19" ht="21" customHeight="1">
      <c r="A99" s="40"/>
      <c r="B99" s="40"/>
      <c r="C99" s="40"/>
      <c r="D99" s="40"/>
      <c r="E99" s="1"/>
      <c r="F99" s="40"/>
      <c r="G99" s="40"/>
      <c r="H99" s="40"/>
      <c r="I99" s="40"/>
      <c r="J99" s="1"/>
      <c r="K99" s="40"/>
      <c r="L99" s="40"/>
      <c r="M99" s="40"/>
      <c r="N99" s="40"/>
      <c r="O99" s="1"/>
      <c r="P99" s="40"/>
      <c r="Q99" s="40"/>
      <c r="R99" s="40"/>
      <c r="S99" s="40"/>
    </row>
    <row r="100" spans="1:19" ht="21" customHeight="1">
      <c r="A100" s="41" t="s">
        <v>367</v>
      </c>
      <c r="B100" s="41"/>
      <c r="C100" s="41"/>
      <c r="D100" s="41"/>
      <c r="E100" s="1"/>
      <c r="F100" s="41" t="s">
        <v>369</v>
      </c>
      <c r="G100" s="41"/>
      <c r="H100" s="41"/>
      <c r="I100" s="41"/>
      <c r="J100" s="1"/>
      <c r="K100" s="41" t="s">
        <v>354</v>
      </c>
      <c r="L100" s="41"/>
      <c r="M100" s="41"/>
      <c r="N100" s="41"/>
      <c r="O100" s="1"/>
      <c r="P100" s="41" t="s">
        <v>337</v>
      </c>
      <c r="Q100" s="41"/>
      <c r="R100" s="41"/>
      <c r="S100" s="41"/>
    </row>
    <row r="101" spans="1:19" ht="21" customHeight="1">
      <c r="A101" s="17" t="str">
        <f>HYPERLINK("#'The 100'!B"&amp;(MATCH(29,'The 100'!$A$7:$A$106,0)+6),"View this entry →")</f>
        <v>View this entry →</v>
      </c>
      <c r="B101" s="17"/>
      <c r="C101" s="17"/>
      <c r="D101" s="17"/>
      <c r="E101" s="1"/>
      <c r="F101" s="17" t="str">
        <f>HYPERLINK("#'The 100'!B"&amp;(MATCH(30,'The 100'!$A$7:$A$106,0)+6),"View this entry →")</f>
        <v>View this entry →</v>
      </c>
      <c r="G101" s="17"/>
      <c r="H101" s="17"/>
      <c r="I101" s="17"/>
      <c r="J101" s="1"/>
      <c r="K101" s="17" t="str">
        <f>HYPERLINK("#'The 100'!B"&amp;(MATCH(31,'The 100'!$A$7:$A$106,0)+6),"View this entry →")</f>
        <v>View this entry →</v>
      </c>
      <c r="L101" s="17"/>
      <c r="M101" s="17"/>
      <c r="N101" s="17"/>
      <c r="O101" s="1"/>
      <c r="P101" s="17" t="str">
        <f>HYPERLINK("#'The 100'!B"&amp;(MATCH(32,'The 100'!$A$7:$A$106,0)+6),"View this entry →")</f>
        <v>View this entry →</v>
      </c>
      <c r="Q101" s="17"/>
      <c r="R101" s="17"/>
      <c r="S101" s="17"/>
    </row>
    <row r="102" spans="1:19" ht="21" customHeight="1">
      <c r="A102" s="1"/>
      <c r="B102" s="1"/>
      <c r="C102" s="1"/>
      <c r="D102" s="1"/>
      <c r="E102" s="1"/>
      <c r="F102" s="1"/>
      <c r="G102" s="1"/>
      <c r="H102" s="1"/>
      <c r="I102" s="1"/>
      <c r="J102" s="1"/>
      <c r="K102" s="1"/>
      <c r="L102" s="1"/>
      <c r="M102" s="1"/>
      <c r="N102" s="1"/>
      <c r="O102" s="1"/>
      <c r="P102" s="1"/>
      <c r="Q102" s="1"/>
      <c r="R102" s="1"/>
      <c r="S102" s="1"/>
    </row>
    <row r="103" spans="1:19" ht="21" customHeight="1">
      <c r="A103" s="39" t="s">
        <v>372</v>
      </c>
      <c r="B103" s="39"/>
      <c r="C103" s="39"/>
      <c r="D103" s="39"/>
      <c r="E103" s="1"/>
      <c r="F103" s="39" t="s">
        <v>373</v>
      </c>
      <c r="G103" s="39"/>
      <c r="H103" s="39"/>
      <c r="I103" s="39"/>
      <c r="J103" s="1"/>
      <c r="K103" s="39" t="s">
        <v>374</v>
      </c>
      <c r="L103" s="39"/>
      <c r="M103" s="39"/>
      <c r="N103" s="39"/>
      <c r="O103" s="1"/>
      <c r="P103" s="39" t="s">
        <v>376</v>
      </c>
      <c r="Q103" s="39"/>
      <c r="R103" s="39"/>
      <c r="S103" s="39"/>
    </row>
    <row r="104" spans="1:19" ht="21" customHeight="1">
      <c r="A104" s="39"/>
      <c r="B104" s="39"/>
      <c r="C104" s="39"/>
      <c r="D104" s="39"/>
      <c r="E104" s="1"/>
      <c r="F104" s="39"/>
      <c r="G104" s="39"/>
      <c r="H104" s="39"/>
      <c r="I104" s="39"/>
      <c r="J104" s="1"/>
      <c r="K104" s="39"/>
      <c r="L104" s="39"/>
      <c r="M104" s="39"/>
      <c r="N104" s="39"/>
      <c r="O104" s="1"/>
      <c r="P104" s="39"/>
      <c r="Q104" s="39"/>
      <c r="R104" s="39"/>
      <c r="S104" s="39"/>
    </row>
    <row r="105" spans="1:19" ht="21" customHeight="1">
      <c r="A105" s="39"/>
      <c r="B105" s="39"/>
      <c r="C105" s="39"/>
      <c r="D105" s="39"/>
      <c r="E105" s="1"/>
      <c r="F105" s="39"/>
      <c r="G105" s="39"/>
      <c r="H105" s="39"/>
      <c r="I105" s="39"/>
      <c r="J105" s="1"/>
      <c r="K105" s="39"/>
      <c r="L105" s="39"/>
      <c r="M105" s="39"/>
      <c r="N105" s="39"/>
      <c r="O105" s="1"/>
      <c r="P105" s="39"/>
      <c r="Q105" s="39"/>
      <c r="R105" s="39"/>
      <c r="S105" s="39"/>
    </row>
    <row r="106" spans="1:19" ht="21" customHeight="1">
      <c r="A106" s="40"/>
      <c r="B106" s="40"/>
      <c r="C106" s="40"/>
      <c r="D106" s="40"/>
      <c r="E106" s="1"/>
      <c r="F106" s="40"/>
      <c r="G106" s="40"/>
      <c r="H106" s="40"/>
      <c r="I106" s="40"/>
      <c r="J106" s="1"/>
      <c r="K106" s="40"/>
      <c r="L106" s="40"/>
      <c r="M106" s="40"/>
      <c r="N106" s="40"/>
      <c r="O106" s="1"/>
      <c r="P106" s="40"/>
      <c r="Q106" s="40"/>
      <c r="R106" s="40"/>
      <c r="S106" s="40"/>
    </row>
    <row r="107" spans="1:19" ht="21" customHeight="1">
      <c r="A107" s="40"/>
      <c r="B107" s="40"/>
      <c r="C107" s="40"/>
      <c r="D107" s="40"/>
      <c r="E107" s="1"/>
      <c r="F107" s="40"/>
      <c r="G107" s="40"/>
      <c r="H107" s="40"/>
      <c r="I107" s="40"/>
      <c r="J107" s="1"/>
      <c r="K107" s="40"/>
      <c r="L107" s="40"/>
      <c r="M107" s="40"/>
      <c r="N107" s="40"/>
      <c r="O107" s="1"/>
      <c r="P107" s="40"/>
      <c r="Q107" s="40"/>
      <c r="R107" s="40"/>
      <c r="S107" s="40"/>
    </row>
    <row r="108" spans="1:19" ht="21" customHeight="1">
      <c r="A108" s="40"/>
      <c r="B108" s="40"/>
      <c r="C108" s="40"/>
      <c r="D108" s="40"/>
      <c r="E108" s="1"/>
      <c r="F108" s="40"/>
      <c r="G108" s="40"/>
      <c r="H108" s="40"/>
      <c r="I108" s="40"/>
      <c r="J108" s="1"/>
      <c r="K108" s="40"/>
      <c r="L108" s="40"/>
      <c r="M108" s="40"/>
      <c r="N108" s="40"/>
      <c r="O108" s="1"/>
      <c r="P108" s="40"/>
      <c r="Q108" s="40"/>
      <c r="R108" s="40"/>
      <c r="S108" s="40"/>
    </row>
    <row r="109" spans="1:19" ht="21" customHeight="1">
      <c r="A109" s="40"/>
      <c r="B109" s="40"/>
      <c r="C109" s="40"/>
      <c r="D109" s="40"/>
      <c r="E109" s="1"/>
      <c r="F109" s="40"/>
      <c r="G109" s="40"/>
      <c r="H109" s="40"/>
      <c r="I109" s="40"/>
      <c r="J109" s="1"/>
      <c r="K109" s="40"/>
      <c r="L109" s="40"/>
      <c r="M109" s="40"/>
      <c r="N109" s="40"/>
      <c r="O109" s="1"/>
      <c r="P109" s="40"/>
      <c r="Q109" s="40"/>
      <c r="R109" s="40"/>
      <c r="S109" s="40"/>
    </row>
    <row r="110" spans="1:19" ht="21" customHeight="1">
      <c r="A110" s="40"/>
      <c r="B110" s="40"/>
      <c r="C110" s="40"/>
      <c r="D110" s="40"/>
      <c r="E110" s="1"/>
      <c r="F110" s="40"/>
      <c r="G110" s="40"/>
      <c r="H110" s="40"/>
      <c r="I110" s="40"/>
      <c r="J110" s="1"/>
      <c r="K110" s="40"/>
      <c r="L110" s="40"/>
      <c r="M110" s="40"/>
      <c r="N110" s="40"/>
      <c r="O110" s="1"/>
      <c r="P110" s="40"/>
      <c r="Q110" s="40"/>
      <c r="R110" s="40"/>
      <c r="S110" s="40"/>
    </row>
    <row r="111" spans="1:19" ht="21" customHeight="1">
      <c r="A111" s="40"/>
      <c r="B111" s="40"/>
      <c r="C111" s="40"/>
      <c r="D111" s="40"/>
      <c r="E111" s="1"/>
      <c r="F111" s="40"/>
      <c r="G111" s="40"/>
      <c r="H111" s="40"/>
      <c r="I111" s="40"/>
      <c r="J111" s="1"/>
      <c r="K111" s="40"/>
      <c r="L111" s="40"/>
      <c r="M111" s="40"/>
      <c r="N111" s="40"/>
      <c r="O111" s="1"/>
      <c r="P111" s="40"/>
      <c r="Q111" s="40"/>
      <c r="R111" s="40"/>
      <c r="S111" s="40"/>
    </row>
    <row r="112" spans="1:19" ht="21" customHeight="1">
      <c r="A112" s="41" t="s">
        <v>331</v>
      </c>
      <c r="B112" s="41"/>
      <c r="C112" s="41"/>
      <c r="D112" s="41"/>
      <c r="E112" s="1"/>
      <c r="F112" s="41" t="s">
        <v>356</v>
      </c>
      <c r="G112" s="41"/>
      <c r="H112" s="41"/>
      <c r="I112" s="41"/>
      <c r="J112" s="1"/>
      <c r="K112" s="41" t="s">
        <v>375</v>
      </c>
      <c r="L112" s="41"/>
      <c r="M112" s="41"/>
      <c r="N112" s="41"/>
      <c r="O112" s="1"/>
      <c r="P112" s="41" t="s">
        <v>326</v>
      </c>
      <c r="Q112" s="41"/>
      <c r="R112" s="41"/>
      <c r="S112" s="41"/>
    </row>
    <row r="113" spans="1:19" ht="21" customHeight="1">
      <c r="A113" s="17" t="str">
        <f>HYPERLINK("#'The 100'!B"&amp;(MATCH(33,'The 100'!$A$7:$A$106,0)+6),"View this entry →")</f>
        <v>View this entry →</v>
      </c>
      <c r="B113" s="17"/>
      <c r="C113" s="17"/>
      <c r="D113" s="17"/>
      <c r="E113" s="1"/>
      <c r="F113" s="17" t="str">
        <f>HYPERLINK("#'The 100'!B"&amp;(MATCH(34,'The 100'!$A$7:$A$106,0)+6),"View this entry →")</f>
        <v>View this entry →</v>
      </c>
      <c r="G113" s="17"/>
      <c r="H113" s="17"/>
      <c r="I113" s="17"/>
      <c r="J113" s="1"/>
      <c r="K113" s="17" t="str">
        <f>HYPERLINK("#'The 100'!B"&amp;(MATCH(35,'The 100'!$A$7:$A$106,0)+6),"View this entry →")</f>
        <v>View this entry →</v>
      </c>
      <c r="L113" s="17"/>
      <c r="M113" s="17"/>
      <c r="N113" s="17"/>
      <c r="O113" s="1"/>
      <c r="P113" s="17" t="str">
        <f>HYPERLINK("#'The 100'!B"&amp;(MATCH(36,'The 100'!$A$7:$A$106,0)+6),"View this entry →")</f>
        <v>View this entry →</v>
      </c>
      <c r="Q113" s="17"/>
      <c r="R113" s="17"/>
      <c r="S113" s="17"/>
    </row>
    <row r="114" spans="1:19" ht="21" customHeight="1">
      <c r="A114" s="1"/>
      <c r="B114" s="1"/>
      <c r="C114" s="1"/>
      <c r="D114" s="1"/>
      <c r="E114" s="1"/>
      <c r="F114" s="1"/>
      <c r="G114" s="1"/>
      <c r="H114" s="1"/>
      <c r="I114" s="1"/>
      <c r="J114" s="1"/>
      <c r="K114" s="1"/>
      <c r="L114" s="1"/>
      <c r="M114" s="1"/>
      <c r="N114" s="1"/>
      <c r="O114" s="1"/>
      <c r="P114" s="1"/>
      <c r="Q114" s="1"/>
      <c r="R114" s="1"/>
      <c r="S114" s="1"/>
    </row>
    <row r="115" spans="1:19" ht="21" customHeight="1">
      <c r="A115" s="39" t="s">
        <v>377</v>
      </c>
      <c r="B115" s="39"/>
      <c r="C115" s="39"/>
      <c r="D115" s="39"/>
      <c r="E115" s="1"/>
      <c r="F115" s="39" t="s">
        <v>379</v>
      </c>
      <c r="G115" s="39"/>
      <c r="H115" s="39"/>
      <c r="I115" s="39"/>
      <c r="J115" s="1"/>
      <c r="K115" s="39" t="s">
        <v>380</v>
      </c>
      <c r="L115" s="39"/>
      <c r="M115" s="39"/>
      <c r="N115" s="39"/>
      <c r="O115" s="1"/>
      <c r="P115" s="39" t="s">
        <v>381</v>
      </c>
      <c r="Q115" s="39"/>
      <c r="R115" s="39"/>
      <c r="S115" s="39"/>
    </row>
    <row r="116" spans="1:19" ht="21" customHeight="1">
      <c r="A116" s="39"/>
      <c r="B116" s="39"/>
      <c r="C116" s="39"/>
      <c r="D116" s="39"/>
      <c r="E116" s="1"/>
      <c r="F116" s="39"/>
      <c r="G116" s="39"/>
      <c r="H116" s="39"/>
      <c r="I116" s="39"/>
      <c r="J116" s="1"/>
      <c r="K116" s="39"/>
      <c r="L116" s="39"/>
      <c r="M116" s="39"/>
      <c r="N116" s="39"/>
      <c r="O116" s="1"/>
      <c r="P116" s="39"/>
      <c r="Q116" s="39"/>
      <c r="R116" s="39"/>
      <c r="S116" s="39"/>
    </row>
    <row r="117" spans="1:19" ht="21" customHeight="1">
      <c r="A117" s="39"/>
      <c r="B117" s="39"/>
      <c r="C117" s="39"/>
      <c r="D117" s="39"/>
      <c r="E117" s="1"/>
      <c r="F117" s="39"/>
      <c r="G117" s="39"/>
      <c r="H117" s="39"/>
      <c r="I117" s="39"/>
      <c r="J117" s="1"/>
      <c r="K117" s="39"/>
      <c r="L117" s="39"/>
      <c r="M117" s="39"/>
      <c r="N117" s="39"/>
      <c r="O117" s="1"/>
      <c r="P117" s="39"/>
      <c r="Q117" s="39"/>
      <c r="R117" s="39"/>
      <c r="S117" s="39"/>
    </row>
    <row r="118" spans="1:19" ht="21" customHeight="1">
      <c r="A118" s="40"/>
      <c r="B118" s="40"/>
      <c r="C118" s="40"/>
      <c r="D118" s="40"/>
      <c r="E118" s="1"/>
      <c r="F118" s="40"/>
      <c r="G118" s="40"/>
      <c r="H118" s="40"/>
      <c r="I118" s="40"/>
      <c r="J118" s="1"/>
      <c r="K118" s="40"/>
      <c r="L118" s="40"/>
      <c r="M118" s="40"/>
      <c r="N118" s="40"/>
      <c r="O118" s="1"/>
      <c r="P118" s="40"/>
      <c r="Q118" s="40"/>
      <c r="R118" s="40"/>
      <c r="S118" s="40"/>
    </row>
    <row r="119" spans="1:19" ht="21" customHeight="1">
      <c r="A119" s="40"/>
      <c r="B119" s="40"/>
      <c r="C119" s="40"/>
      <c r="D119" s="40"/>
      <c r="E119" s="1"/>
      <c r="F119" s="40"/>
      <c r="G119" s="40"/>
      <c r="H119" s="40"/>
      <c r="I119" s="40"/>
      <c r="J119" s="1"/>
      <c r="K119" s="40"/>
      <c r="L119" s="40"/>
      <c r="M119" s="40"/>
      <c r="N119" s="40"/>
      <c r="O119" s="1"/>
      <c r="P119" s="40"/>
      <c r="Q119" s="40"/>
      <c r="R119" s="40"/>
      <c r="S119" s="40"/>
    </row>
    <row r="120" spans="1:19" ht="21" customHeight="1">
      <c r="A120" s="40"/>
      <c r="B120" s="40"/>
      <c r="C120" s="40"/>
      <c r="D120" s="40"/>
      <c r="E120" s="1"/>
      <c r="F120" s="40"/>
      <c r="G120" s="40"/>
      <c r="H120" s="40"/>
      <c r="I120" s="40"/>
      <c r="J120" s="1"/>
      <c r="K120" s="40"/>
      <c r="L120" s="40"/>
      <c r="M120" s="40"/>
      <c r="N120" s="40"/>
      <c r="O120" s="1"/>
      <c r="P120" s="40"/>
      <c r="Q120" s="40"/>
      <c r="R120" s="40"/>
      <c r="S120" s="40"/>
    </row>
    <row r="121" spans="1:19" ht="21" customHeight="1">
      <c r="A121" s="40"/>
      <c r="B121" s="40"/>
      <c r="C121" s="40"/>
      <c r="D121" s="40"/>
      <c r="E121" s="1"/>
      <c r="F121" s="40"/>
      <c r="G121" s="40"/>
      <c r="H121" s="40"/>
      <c r="I121" s="40"/>
      <c r="J121" s="1"/>
      <c r="K121" s="40"/>
      <c r="L121" s="40"/>
      <c r="M121" s="40"/>
      <c r="N121" s="40"/>
      <c r="O121" s="1"/>
      <c r="P121" s="40"/>
      <c r="Q121" s="40"/>
      <c r="R121" s="40"/>
      <c r="S121" s="40"/>
    </row>
    <row r="122" spans="1:19" ht="21" customHeight="1">
      <c r="A122" s="40"/>
      <c r="B122" s="40"/>
      <c r="C122" s="40"/>
      <c r="D122" s="40"/>
      <c r="E122" s="1"/>
      <c r="F122" s="40"/>
      <c r="G122" s="40"/>
      <c r="H122" s="40"/>
      <c r="I122" s="40"/>
      <c r="J122" s="1"/>
      <c r="K122" s="40"/>
      <c r="L122" s="40"/>
      <c r="M122" s="40"/>
      <c r="N122" s="40"/>
      <c r="O122" s="1"/>
      <c r="P122" s="40"/>
      <c r="Q122" s="40"/>
      <c r="R122" s="40"/>
      <c r="S122" s="40"/>
    </row>
    <row r="123" spans="1:19" ht="21" customHeight="1">
      <c r="A123" s="40"/>
      <c r="B123" s="40"/>
      <c r="C123" s="40"/>
      <c r="D123" s="40"/>
      <c r="E123" s="1"/>
      <c r="F123" s="40"/>
      <c r="G123" s="40"/>
      <c r="H123" s="40"/>
      <c r="I123" s="40"/>
      <c r="J123" s="1"/>
      <c r="K123" s="40"/>
      <c r="L123" s="40"/>
      <c r="M123" s="40"/>
      <c r="N123" s="40"/>
      <c r="O123" s="1"/>
      <c r="P123" s="40"/>
      <c r="Q123" s="40"/>
      <c r="R123" s="40"/>
      <c r="S123" s="40"/>
    </row>
    <row r="124" spans="1:19" ht="21" customHeight="1">
      <c r="A124" s="41" t="s">
        <v>378</v>
      </c>
      <c r="B124" s="41"/>
      <c r="C124" s="41"/>
      <c r="D124" s="41"/>
      <c r="E124" s="1"/>
      <c r="F124" s="41" t="s">
        <v>378</v>
      </c>
      <c r="G124" s="41"/>
      <c r="H124" s="41"/>
      <c r="I124" s="41"/>
      <c r="J124" s="1"/>
      <c r="K124" s="41" t="s">
        <v>367</v>
      </c>
      <c r="L124" s="41"/>
      <c r="M124" s="41"/>
      <c r="N124" s="41"/>
      <c r="O124" s="1"/>
      <c r="P124" s="41" t="s">
        <v>367</v>
      </c>
      <c r="Q124" s="41"/>
      <c r="R124" s="41"/>
      <c r="S124" s="41"/>
    </row>
    <row r="125" spans="1:19" ht="21" customHeight="1">
      <c r="A125" s="17" t="str">
        <f>HYPERLINK("#'The 100'!B"&amp;(MATCH(37,'The 100'!$A$7:$A$106,0)+6),"View this entry →")</f>
        <v>View this entry →</v>
      </c>
      <c r="B125" s="17"/>
      <c r="C125" s="17"/>
      <c r="D125" s="17"/>
      <c r="E125" s="1"/>
      <c r="F125" s="17" t="str">
        <f>HYPERLINK("#'The 100'!B"&amp;(MATCH(38,'The 100'!$A$7:$A$106,0)+6),"View this entry →")</f>
        <v>View this entry →</v>
      </c>
      <c r="G125" s="17"/>
      <c r="H125" s="17"/>
      <c r="I125" s="17"/>
      <c r="J125" s="1"/>
      <c r="K125" s="17" t="str">
        <f>HYPERLINK("#'The 100'!B"&amp;(MATCH(39,'The 100'!$A$7:$A$106,0)+6),"View this entry →")</f>
        <v>View this entry →</v>
      </c>
      <c r="L125" s="17"/>
      <c r="M125" s="17"/>
      <c r="N125" s="17"/>
      <c r="O125" s="1"/>
      <c r="P125" s="17" t="str">
        <f>HYPERLINK("#'The 100'!B"&amp;(MATCH(40,'The 100'!$A$7:$A$106,0)+6),"View this entry →")</f>
        <v>View this entry →</v>
      </c>
      <c r="Q125" s="17"/>
      <c r="R125" s="17"/>
      <c r="S125" s="17"/>
    </row>
    <row r="126" spans="1:19" ht="21" customHeight="1">
      <c r="A126" s="1"/>
      <c r="B126" s="1"/>
      <c r="C126" s="1"/>
      <c r="D126" s="1"/>
      <c r="E126" s="1"/>
      <c r="F126" s="1"/>
      <c r="G126" s="1"/>
      <c r="H126" s="1"/>
      <c r="I126" s="1"/>
      <c r="J126" s="1"/>
      <c r="K126" s="1"/>
      <c r="L126" s="1"/>
      <c r="M126" s="1"/>
      <c r="N126" s="1"/>
      <c r="O126" s="1"/>
      <c r="P126" s="1"/>
      <c r="Q126" s="1"/>
      <c r="R126" s="1"/>
      <c r="S126" s="1"/>
    </row>
    <row r="127" spans="1:19" ht="21" customHeight="1">
      <c r="A127" s="39" t="s">
        <v>382</v>
      </c>
      <c r="B127" s="39"/>
      <c r="C127" s="39"/>
      <c r="D127" s="39"/>
      <c r="E127" s="1"/>
      <c r="F127" s="39" t="s">
        <v>384</v>
      </c>
      <c r="G127" s="39"/>
      <c r="H127" s="39"/>
      <c r="I127" s="39"/>
      <c r="J127" s="1"/>
      <c r="K127" s="39" t="s">
        <v>385</v>
      </c>
      <c r="L127" s="39"/>
      <c r="M127" s="39"/>
      <c r="N127" s="39"/>
      <c r="O127" s="1"/>
      <c r="P127" s="39" t="s">
        <v>387</v>
      </c>
      <c r="Q127" s="39"/>
      <c r="R127" s="39"/>
      <c r="S127" s="39"/>
    </row>
    <row r="128" spans="1:19" ht="21" customHeight="1">
      <c r="A128" s="39"/>
      <c r="B128" s="39"/>
      <c r="C128" s="39"/>
      <c r="D128" s="39"/>
      <c r="E128" s="1"/>
      <c r="F128" s="39"/>
      <c r="G128" s="39"/>
      <c r="H128" s="39"/>
      <c r="I128" s="39"/>
      <c r="J128" s="1"/>
      <c r="K128" s="39"/>
      <c r="L128" s="39"/>
      <c r="M128" s="39"/>
      <c r="N128" s="39"/>
      <c r="O128" s="1"/>
      <c r="P128" s="39"/>
      <c r="Q128" s="39"/>
      <c r="R128" s="39"/>
      <c r="S128" s="39"/>
    </row>
    <row r="129" spans="1:19" ht="21" customHeight="1">
      <c r="A129" s="39"/>
      <c r="B129" s="39"/>
      <c r="C129" s="39"/>
      <c r="D129" s="39"/>
      <c r="E129" s="1"/>
      <c r="F129" s="39"/>
      <c r="G129" s="39"/>
      <c r="H129" s="39"/>
      <c r="I129" s="39"/>
      <c r="J129" s="1"/>
      <c r="K129" s="39"/>
      <c r="L129" s="39"/>
      <c r="M129" s="39"/>
      <c r="N129" s="39"/>
      <c r="O129" s="1"/>
      <c r="P129" s="39"/>
      <c r="Q129" s="39"/>
      <c r="R129" s="39"/>
      <c r="S129" s="39"/>
    </row>
    <row r="130" spans="1:19" ht="21" customHeight="1">
      <c r="A130" s="40"/>
      <c r="B130" s="40"/>
      <c r="C130" s="40"/>
      <c r="D130" s="40"/>
      <c r="E130" s="1"/>
      <c r="F130" s="40"/>
      <c r="G130" s="40"/>
      <c r="H130" s="40"/>
      <c r="I130" s="40"/>
      <c r="J130" s="1"/>
      <c r="K130" s="40"/>
      <c r="L130" s="40"/>
      <c r="M130" s="40"/>
      <c r="N130" s="40"/>
      <c r="O130" s="1"/>
      <c r="P130" s="40"/>
      <c r="Q130" s="40"/>
      <c r="R130" s="40"/>
      <c r="S130" s="40"/>
    </row>
    <row r="131" spans="1:19" ht="21" customHeight="1">
      <c r="A131" s="40"/>
      <c r="B131" s="40"/>
      <c r="C131" s="40"/>
      <c r="D131" s="40"/>
      <c r="E131" s="1"/>
      <c r="F131" s="40"/>
      <c r="G131" s="40"/>
      <c r="H131" s="40"/>
      <c r="I131" s="40"/>
      <c r="J131" s="1"/>
      <c r="K131" s="40"/>
      <c r="L131" s="40"/>
      <c r="M131" s="40"/>
      <c r="N131" s="40"/>
      <c r="O131" s="1"/>
      <c r="P131" s="40"/>
      <c r="Q131" s="40"/>
      <c r="R131" s="40"/>
      <c r="S131" s="40"/>
    </row>
    <row r="132" spans="1:19" ht="21" customHeight="1">
      <c r="A132" s="40"/>
      <c r="B132" s="40"/>
      <c r="C132" s="40"/>
      <c r="D132" s="40"/>
      <c r="E132" s="1"/>
      <c r="F132" s="40"/>
      <c r="G132" s="40"/>
      <c r="H132" s="40"/>
      <c r="I132" s="40"/>
      <c r="J132" s="1"/>
      <c r="K132" s="40"/>
      <c r="L132" s="40"/>
      <c r="M132" s="40"/>
      <c r="N132" s="40"/>
      <c r="O132" s="1"/>
      <c r="P132" s="40"/>
      <c r="Q132" s="40"/>
      <c r="R132" s="40"/>
      <c r="S132" s="40"/>
    </row>
    <row r="133" spans="1:19" ht="21" customHeight="1">
      <c r="A133" s="40"/>
      <c r="B133" s="40"/>
      <c r="C133" s="40"/>
      <c r="D133" s="40"/>
      <c r="E133" s="1"/>
      <c r="F133" s="40"/>
      <c r="G133" s="40"/>
      <c r="H133" s="40"/>
      <c r="I133" s="40"/>
      <c r="J133" s="1"/>
      <c r="K133" s="40"/>
      <c r="L133" s="40"/>
      <c r="M133" s="40"/>
      <c r="N133" s="40"/>
      <c r="O133" s="1"/>
      <c r="P133" s="40"/>
      <c r="Q133" s="40"/>
      <c r="R133" s="40"/>
      <c r="S133" s="40"/>
    </row>
    <row r="134" spans="1:19" ht="21" customHeight="1">
      <c r="A134" s="40"/>
      <c r="B134" s="40"/>
      <c r="C134" s="40"/>
      <c r="D134" s="40"/>
      <c r="E134" s="1"/>
      <c r="F134" s="40"/>
      <c r="G134" s="40"/>
      <c r="H134" s="40"/>
      <c r="I134" s="40"/>
      <c r="J134" s="1"/>
      <c r="K134" s="40"/>
      <c r="L134" s="40"/>
      <c r="M134" s="40"/>
      <c r="N134" s="40"/>
      <c r="O134" s="1"/>
      <c r="P134" s="40"/>
      <c r="Q134" s="40"/>
      <c r="R134" s="40"/>
      <c r="S134" s="40"/>
    </row>
    <row r="135" spans="1:19" ht="21" customHeight="1">
      <c r="A135" s="40"/>
      <c r="B135" s="40"/>
      <c r="C135" s="40"/>
      <c r="D135" s="40"/>
      <c r="E135" s="1"/>
      <c r="F135" s="40"/>
      <c r="G135" s="40"/>
      <c r="H135" s="40"/>
      <c r="I135" s="40"/>
      <c r="J135" s="1"/>
      <c r="K135" s="40"/>
      <c r="L135" s="40"/>
      <c r="M135" s="40"/>
      <c r="N135" s="40"/>
      <c r="O135" s="1"/>
      <c r="P135" s="40"/>
      <c r="Q135" s="40"/>
      <c r="R135" s="40"/>
      <c r="S135" s="40"/>
    </row>
    <row r="136" spans="1:19" ht="21" customHeight="1">
      <c r="A136" s="41" t="s">
        <v>383</v>
      </c>
      <c r="B136" s="41"/>
      <c r="C136" s="41"/>
      <c r="D136" s="41"/>
      <c r="E136" s="1"/>
      <c r="F136" s="41" t="s">
        <v>349</v>
      </c>
      <c r="G136" s="41"/>
      <c r="H136" s="41"/>
      <c r="I136" s="41"/>
      <c r="J136" s="1"/>
      <c r="K136" s="41" t="s">
        <v>386</v>
      </c>
      <c r="L136" s="41"/>
      <c r="M136" s="41"/>
      <c r="N136" s="41"/>
      <c r="O136" s="1"/>
      <c r="P136" s="41" t="s">
        <v>367</v>
      </c>
      <c r="Q136" s="41"/>
      <c r="R136" s="41"/>
      <c r="S136" s="41"/>
    </row>
    <row r="137" spans="1:19" ht="21" customHeight="1">
      <c r="A137" s="17" t="str">
        <f>HYPERLINK("#'The 100'!B"&amp;(MATCH(41,'The 100'!$A$7:$A$106,0)+6),"View this entry →")</f>
        <v>View this entry →</v>
      </c>
      <c r="B137" s="17"/>
      <c r="C137" s="17"/>
      <c r="D137" s="17"/>
      <c r="E137" s="1"/>
      <c r="F137" s="17" t="str">
        <f>HYPERLINK("#'The 100'!B"&amp;(MATCH(42,'The 100'!$A$7:$A$106,0)+6),"View this entry →")</f>
        <v>View this entry →</v>
      </c>
      <c r="G137" s="17"/>
      <c r="H137" s="17"/>
      <c r="I137" s="17"/>
      <c r="J137" s="1"/>
      <c r="K137" s="17" t="str">
        <f>HYPERLINK("#'The 100'!B"&amp;(MATCH(43,'The 100'!$A$7:$A$106,0)+6),"View this entry →")</f>
        <v>View this entry →</v>
      </c>
      <c r="L137" s="17"/>
      <c r="M137" s="17"/>
      <c r="N137" s="17"/>
      <c r="O137" s="1"/>
      <c r="P137" s="17" t="str">
        <f>HYPERLINK("#'The 100'!B"&amp;(MATCH(44,'The 100'!$A$7:$A$106,0)+6),"View this entry →")</f>
        <v>View this entry →</v>
      </c>
      <c r="Q137" s="17"/>
      <c r="R137" s="17"/>
      <c r="S137" s="17"/>
    </row>
    <row r="138" spans="1:19" ht="21" customHeight="1">
      <c r="A138" s="1"/>
      <c r="B138" s="1"/>
      <c r="C138" s="1"/>
      <c r="D138" s="1"/>
      <c r="E138" s="1"/>
      <c r="F138" s="1"/>
      <c r="G138" s="1"/>
      <c r="H138" s="1"/>
      <c r="I138" s="1"/>
      <c r="J138" s="1"/>
      <c r="K138" s="1"/>
      <c r="L138" s="1"/>
      <c r="M138" s="1"/>
      <c r="N138" s="1"/>
      <c r="O138" s="1"/>
      <c r="P138" s="1"/>
      <c r="Q138" s="1"/>
      <c r="R138" s="1"/>
      <c r="S138" s="1"/>
    </row>
    <row r="139" spans="1:19" ht="21" customHeight="1">
      <c r="A139" s="39" t="s">
        <v>388</v>
      </c>
      <c r="B139" s="39"/>
      <c r="C139" s="39"/>
      <c r="D139" s="39"/>
      <c r="E139" s="1"/>
      <c r="F139" s="39" t="s">
        <v>389</v>
      </c>
      <c r="G139" s="39"/>
      <c r="H139" s="39"/>
      <c r="I139" s="39"/>
      <c r="J139" s="1"/>
      <c r="K139" s="39" t="s">
        <v>391</v>
      </c>
      <c r="L139" s="39"/>
      <c r="M139" s="39"/>
      <c r="N139" s="39"/>
      <c r="O139" s="1"/>
      <c r="P139" s="39" t="s">
        <v>392</v>
      </c>
      <c r="Q139" s="39"/>
      <c r="R139" s="39"/>
      <c r="S139" s="39"/>
    </row>
    <row r="140" spans="1:19" ht="21" customHeight="1">
      <c r="A140" s="39"/>
      <c r="B140" s="39"/>
      <c r="C140" s="39"/>
      <c r="D140" s="39"/>
      <c r="E140" s="1"/>
      <c r="F140" s="39"/>
      <c r="G140" s="39"/>
      <c r="H140" s="39"/>
      <c r="I140" s="39"/>
      <c r="J140" s="1"/>
      <c r="K140" s="39"/>
      <c r="L140" s="39"/>
      <c r="M140" s="39"/>
      <c r="N140" s="39"/>
      <c r="O140" s="1"/>
      <c r="P140" s="39"/>
      <c r="Q140" s="39"/>
      <c r="R140" s="39"/>
      <c r="S140" s="39"/>
    </row>
    <row r="141" spans="1:19" ht="21" customHeight="1">
      <c r="A141" s="39"/>
      <c r="B141" s="39"/>
      <c r="C141" s="39"/>
      <c r="D141" s="39"/>
      <c r="E141" s="1"/>
      <c r="F141" s="39"/>
      <c r="G141" s="39"/>
      <c r="H141" s="39"/>
      <c r="I141" s="39"/>
      <c r="J141" s="1"/>
      <c r="K141" s="39"/>
      <c r="L141" s="39"/>
      <c r="M141" s="39"/>
      <c r="N141" s="39"/>
      <c r="O141" s="1"/>
      <c r="P141" s="39"/>
      <c r="Q141" s="39"/>
      <c r="R141" s="39"/>
      <c r="S141" s="39"/>
    </row>
    <row r="142" spans="1:19" ht="21" customHeight="1">
      <c r="A142" s="40"/>
      <c r="B142" s="40"/>
      <c r="C142" s="40"/>
      <c r="D142" s="40"/>
      <c r="E142" s="1"/>
      <c r="F142" s="40"/>
      <c r="G142" s="40"/>
      <c r="H142" s="40"/>
      <c r="I142" s="40"/>
      <c r="J142" s="1"/>
      <c r="K142" s="40"/>
      <c r="L142" s="40"/>
      <c r="M142" s="40"/>
      <c r="N142" s="40"/>
      <c r="O142" s="1"/>
      <c r="P142" s="40"/>
      <c r="Q142" s="40"/>
      <c r="R142" s="40"/>
      <c r="S142" s="40"/>
    </row>
    <row r="143" spans="1:19" ht="21" customHeight="1">
      <c r="A143" s="40"/>
      <c r="B143" s="40"/>
      <c r="C143" s="40"/>
      <c r="D143" s="40"/>
      <c r="E143" s="1"/>
      <c r="F143" s="40"/>
      <c r="G143" s="40"/>
      <c r="H143" s="40"/>
      <c r="I143" s="40"/>
      <c r="J143" s="1"/>
      <c r="K143" s="40"/>
      <c r="L143" s="40"/>
      <c r="M143" s="40"/>
      <c r="N143" s="40"/>
      <c r="O143" s="1"/>
      <c r="P143" s="40"/>
      <c r="Q143" s="40"/>
      <c r="R143" s="40"/>
      <c r="S143" s="40"/>
    </row>
    <row r="144" spans="1:19" ht="21" customHeight="1">
      <c r="A144" s="40"/>
      <c r="B144" s="40"/>
      <c r="C144" s="40"/>
      <c r="D144" s="40"/>
      <c r="E144" s="1"/>
      <c r="F144" s="40"/>
      <c r="G144" s="40"/>
      <c r="H144" s="40"/>
      <c r="I144" s="40"/>
      <c r="J144" s="1"/>
      <c r="K144" s="40"/>
      <c r="L144" s="40"/>
      <c r="M144" s="40"/>
      <c r="N144" s="40"/>
      <c r="O144" s="1"/>
      <c r="P144" s="40"/>
      <c r="Q144" s="40"/>
      <c r="R144" s="40"/>
      <c r="S144" s="40"/>
    </row>
    <row r="145" spans="1:19" ht="21" customHeight="1">
      <c r="A145" s="40"/>
      <c r="B145" s="40"/>
      <c r="C145" s="40"/>
      <c r="D145" s="40"/>
      <c r="E145" s="1"/>
      <c r="F145" s="40"/>
      <c r="G145" s="40"/>
      <c r="H145" s="40"/>
      <c r="I145" s="40"/>
      <c r="J145" s="1"/>
      <c r="K145" s="40"/>
      <c r="L145" s="40"/>
      <c r="M145" s="40"/>
      <c r="N145" s="40"/>
      <c r="O145" s="1"/>
      <c r="P145" s="40"/>
      <c r="Q145" s="40"/>
      <c r="R145" s="40"/>
      <c r="S145" s="40"/>
    </row>
    <row r="146" spans="1:19" ht="21" customHeight="1">
      <c r="A146" s="40"/>
      <c r="B146" s="40"/>
      <c r="C146" s="40"/>
      <c r="D146" s="40"/>
      <c r="E146" s="1"/>
      <c r="F146" s="40"/>
      <c r="G146" s="40"/>
      <c r="H146" s="40"/>
      <c r="I146" s="40"/>
      <c r="J146" s="1"/>
      <c r="K146" s="40"/>
      <c r="L146" s="40"/>
      <c r="M146" s="40"/>
      <c r="N146" s="40"/>
      <c r="O146" s="1"/>
      <c r="P146" s="40"/>
      <c r="Q146" s="40"/>
      <c r="R146" s="40"/>
      <c r="S146" s="40"/>
    </row>
    <row r="147" spans="1:19" ht="21" customHeight="1">
      <c r="A147" s="40"/>
      <c r="B147" s="40"/>
      <c r="C147" s="40"/>
      <c r="D147" s="40"/>
      <c r="E147" s="1"/>
      <c r="F147" s="40"/>
      <c r="G147" s="40"/>
      <c r="H147" s="40"/>
      <c r="I147" s="40"/>
      <c r="J147" s="1"/>
      <c r="K147" s="40"/>
      <c r="L147" s="40"/>
      <c r="M147" s="40"/>
      <c r="N147" s="40"/>
      <c r="O147" s="1"/>
      <c r="P147" s="40"/>
      <c r="Q147" s="40"/>
      <c r="R147" s="40"/>
      <c r="S147" s="40"/>
    </row>
    <row r="148" spans="1:19" ht="21" customHeight="1">
      <c r="A148" s="41" t="s">
        <v>328</v>
      </c>
      <c r="B148" s="41"/>
      <c r="C148" s="41"/>
      <c r="D148" s="41"/>
      <c r="E148" s="1"/>
      <c r="F148" s="41" t="s">
        <v>390</v>
      </c>
      <c r="G148" s="41"/>
      <c r="H148" s="41"/>
      <c r="I148" s="41"/>
      <c r="J148" s="1"/>
      <c r="K148" s="41" t="s">
        <v>367</v>
      </c>
      <c r="L148" s="41"/>
      <c r="M148" s="41"/>
      <c r="N148" s="41"/>
      <c r="O148" s="1"/>
      <c r="P148" s="41" t="s">
        <v>386</v>
      </c>
      <c r="Q148" s="41"/>
      <c r="R148" s="41"/>
      <c r="S148" s="41"/>
    </row>
    <row r="149" spans="1:19" ht="21" customHeight="1">
      <c r="A149" s="17" t="str">
        <f>HYPERLINK("#'The 100'!B"&amp;(MATCH(45,'The 100'!$A$7:$A$106,0)+6),"View this entry →")</f>
        <v>View this entry →</v>
      </c>
      <c r="B149" s="17"/>
      <c r="C149" s="17"/>
      <c r="D149" s="17"/>
      <c r="E149" s="1"/>
      <c r="F149" s="17" t="str">
        <f>HYPERLINK("#'The 100'!B"&amp;(MATCH(46,'The 100'!$A$7:$A$106,0)+6),"View this entry →")</f>
        <v>View this entry →</v>
      </c>
      <c r="G149" s="17"/>
      <c r="H149" s="17"/>
      <c r="I149" s="17"/>
      <c r="J149" s="1"/>
      <c r="K149" s="17" t="str">
        <f>HYPERLINK("#'The 100'!B"&amp;(MATCH(47,'The 100'!$A$7:$A$106,0)+6),"View this entry →")</f>
        <v>View this entry →</v>
      </c>
      <c r="L149" s="17"/>
      <c r="M149" s="17"/>
      <c r="N149" s="17"/>
      <c r="O149" s="1"/>
      <c r="P149" s="17" t="str">
        <f>HYPERLINK("#'The 100'!B"&amp;(MATCH(48,'The 100'!$A$7:$A$106,0)+6),"View this entry →")</f>
        <v>View this entry →</v>
      </c>
      <c r="Q149" s="17"/>
      <c r="R149" s="17"/>
      <c r="S149" s="17"/>
    </row>
    <row r="150" spans="1:19" ht="21" customHeight="1">
      <c r="A150" s="1"/>
      <c r="B150" s="1"/>
      <c r="C150" s="1"/>
      <c r="D150" s="1"/>
      <c r="E150" s="1"/>
      <c r="F150" s="1"/>
      <c r="G150" s="1"/>
      <c r="H150" s="1"/>
      <c r="I150" s="1"/>
      <c r="J150" s="1"/>
      <c r="K150" s="1"/>
      <c r="L150" s="1"/>
      <c r="M150" s="1"/>
      <c r="N150" s="1"/>
      <c r="O150" s="1"/>
      <c r="P150" s="1"/>
      <c r="Q150" s="1"/>
      <c r="R150" s="1"/>
      <c r="S150" s="1"/>
    </row>
    <row r="151" spans="1:19" ht="21" customHeight="1">
      <c r="A151" s="39" t="s">
        <v>393</v>
      </c>
      <c r="B151" s="39"/>
      <c r="C151" s="39"/>
      <c r="D151" s="39"/>
      <c r="E151" s="1"/>
      <c r="F151" s="39" t="s">
        <v>394</v>
      </c>
      <c r="G151" s="39"/>
      <c r="H151" s="39"/>
      <c r="I151" s="39"/>
      <c r="J151" s="1"/>
      <c r="K151" s="39" t="s">
        <v>395</v>
      </c>
      <c r="L151" s="39"/>
      <c r="M151" s="39"/>
      <c r="N151" s="39"/>
      <c r="O151" s="1"/>
      <c r="P151" s="39" t="s">
        <v>397</v>
      </c>
      <c r="Q151" s="39"/>
      <c r="R151" s="39"/>
      <c r="S151" s="39"/>
    </row>
    <row r="152" spans="1:19" ht="21" customHeight="1">
      <c r="A152" s="39"/>
      <c r="B152" s="39"/>
      <c r="C152" s="39"/>
      <c r="D152" s="39"/>
      <c r="E152" s="1"/>
      <c r="F152" s="39"/>
      <c r="G152" s="39"/>
      <c r="H152" s="39"/>
      <c r="I152" s="39"/>
      <c r="J152" s="1"/>
      <c r="K152" s="39"/>
      <c r="L152" s="39"/>
      <c r="M152" s="39"/>
      <c r="N152" s="39"/>
      <c r="O152" s="1"/>
      <c r="P152" s="39"/>
      <c r="Q152" s="39"/>
      <c r="R152" s="39"/>
      <c r="S152" s="39"/>
    </row>
    <row r="153" spans="1:19" ht="21" customHeight="1">
      <c r="A153" s="39"/>
      <c r="B153" s="39"/>
      <c r="C153" s="39"/>
      <c r="D153" s="39"/>
      <c r="E153" s="1"/>
      <c r="F153" s="39"/>
      <c r="G153" s="39"/>
      <c r="H153" s="39"/>
      <c r="I153" s="39"/>
      <c r="J153" s="1"/>
      <c r="K153" s="39"/>
      <c r="L153" s="39"/>
      <c r="M153" s="39"/>
      <c r="N153" s="39"/>
      <c r="O153" s="1"/>
      <c r="P153" s="39"/>
      <c r="Q153" s="39"/>
      <c r="R153" s="39"/>
      <c r="S153" s="39"/>
    </row>
    <row r="154" spans="1:19" ht="21" customHeight="1">
      <c r="A154" s="40"/>
      <c r="B154" s="40"/>
      <c r="C154" s="40"/>
      <c r="D154" s="40"/>
      <c r="E154" s="1"/>
      <c r="F154" s="40"/>
      <c r="G154" s="40"/>
      <c r="H154" s="40"/>
      <c r="I154" s="40"/>
      <c r="J154" s="1"/>
      <c r="K154" s="40"/>
      <c r="L154" s="40"/>
      <c r="M154" s="40"/>
      <c r="N154" s="40"/>
      <c r="O154" s="1"/>
      <c r="P154" s="40"/>
      <c r="Q154" s="40"/>
      <c r="R154" s="40"/>
      <c r="S154" s="40"/>
    </row>
    <row r="155" spans="1:19" ht="21" customHeight="1">
      <c r="A155" s="40"/>
      <c r="B155" s="40"/>
      <c r="C155" s="40"/>
      <c r="D155" s="40"/>
      <c r="E155" s="1"/>
      <c r="F155" s="40"/>
      <c r="G155" s="40"/>
      <c r="H155" s="40"/>
      <c r="I155" s="40"/>
      <c r="J155" s="1"/>
      <c r="K155" s="40"/>
      <c r="L155" s="40"/>
      <c r="M155" s="40"/>
      <c r="N155" s="40"/>
      <c r="O155" s="1"/>
      <c r="P155" s="40"/>
      <c r="Q155" s="40"/>
      <c r="R155" s="40"/>
      <c r="S155" s="40"/>
    </row>
    <row r="156" spans="1:19" ht="21" customHeight="1">
      <c r="A156" s="40"/>
      <c r="B156" s="40"/>
      <c r="C156" s="40"/>
      <c r="D156" s="40"/>
      <c r="E156" s="1"/>
      <c r="F156" s="40"/>
      <c r="G156" s="40"/>
      <c r="H156" s="40"/>
      <c r="I156" s="40"/>
      <c r="J156" s="1"/>
      <c r="K156" s="40"/>
      <c r="L156" s="40"/>
      <c r="M156" s="40"/>
      <c r="N156" s="40"/>
      <c r="O156" s="1"/>
      <c r="P156" s="40"/>
      <c r="Q156" s="40"/>
      <c r="R156" s="40"/>
      <c r="S156" s="40"/>
    </row>
    <row r="157" spans="1:19" ht="21" customHeight="1">
      <c r="A157" s="40"/>
      <c r="B157" s="40"/>
      <c r="C157" s="40"/>
      <c r="D157" s="40"/>
      <c r="E157" s="1"/>
      <c r="F157" s="40"/>
      <c r="G157" s="40"/>
      <c r="H157" s="40"/>
      <c r="I157" s="40"/>
      <c r="J157" s="1"/>
      <c r="K157" s="40"/>
      <c r="L157" s="40"/>
      <c r="M157" s="40"/>
      <c r="N157" s="40"/>
      <c r="O157" s="1"/>
      <c r="P157" s="40"/>
      <c r="Q157" s="40"/>
      <c r="R157" s="40"/>
      <c r="S157" s="40"/>
    </row>
    <row r="158" spans="1:19" ht="21" customHeight="1">
      <c r="A158" s="40"/>
      <c r="B158" s="40"/>
      <c r="C158" s="40"/>
      <c r="D158" s="40"/>
      <c r="E158" s="1"/>
      <c r="F158" s="40"/>
      <c r="G158" s="40"/>
      <c r="H158" s="40"/>
      <c r="I158" s="40"/>
      <c r="J158" s="1"/>
      <c r="K158" s="40"/>
      <c r="L158" s="40"/>
      <c r="M158" s="40"/>
      <c r="N158" s="40"/>
      <c r="O158" s="1"/>
      <c r="P158" s="40"/>
      <c r="Q158" s="40"/>
      <c r="R158" s="40"/>
      <c r="S158" s="40"/>
    </row>
    <row r="159" spans="1:19" ht="21" customHeight="1">
      <c r="A159" s="40"/>
      <c r="B159" s="40"/>
      <c r="C159" s="40"/>
      <c r="D159" s="40"/>
      <c r="E159" s="1"/>
      <c r="F159" s="40"/>
      <c r="G159" s="40"/>
      <c r="H159" s="40"/>
      <c r="I159" s="40"/>
      <c r="J159" s="1"/>
      <c r="K159" s="40"/>
      <c r="L159" s="40"/>
      <c r="M159" s="40"/>
      <c r="N159" s="40"/>
      <c r="O159" s="1"/>
      <c r="P159" s="40"/>
      <c r="Q159" s="40"/>
      <c r="R159" s="40"/>
      <c r="S159" s="40"/>
    </row>
    <row r="160" spans="1:19" ht="21" customHeight="1">
      <c r="A160" s="41" t="s">
        <v>347</v>
      </c>
      <c r="B160" s="41"/>
      <c r="C160" s="41"/>
      <c r="D160" s="41"/>
      <c r="E160" s="1"/>
      <c r="F160" s="41" t="s">
        <v>352</v>
      </c>
      <c r="G160" s="41"/>
      <c r="H160" s="41"/>
      <c r="I160" s="41"/>
      <c r="J160" s="1"/>
      <c r="K160" s="41" t="s">
        <v>396</v>
      </c>
      <c r="L160" s="41"/>
      <c r="M160" s="41"/>
      <c r="N160" s="41"/>
      <c r="O160" s="1"/>
      <c r="P160" s="41" t="s">
        <v>398</v>
      </c>
      <c r="Q160" s="41"/>
      <c r="R160" s="41"/>
      <c r="S160" s="41"/>
    </row>
    <row r="161" spans="1:19" ht="21" customHeight="1">
      <c r="A161" s="17" t="str">
        <f>HYPERLINK("#'The 100'!B"&amp;(MATCH(49,'The 100'!$A$7:$A$106,0)+6),"View this entry →")</f>
        <v>View this entry →</v>
      </c>
      <c r="B161" s="17"/>
      <c r="C161" s="17"/>
      <c r="D161" s="17"/>
      <c r="E161" s="1"/>
      <c r="F161" s="17" t="str">
        <f>HYPERLINK("#'The 100'!B"&amp;(MATCH(50,'The 100'!$A$7:$A$106,0)+6),"View this entry →")</f>
        <v>View this entry →</v>
      </c>
      <c r="G161" s="17"/>
      <c r="H161" s="17"/>
      <c r="I161" s="17"/>
      <c r="J161" s="1"/>
      <c r="K161" s="17" t="str">
        <f>HYPERLINK("#'The 100'!B"&amp;(MATCH(51,'The 100'!$A$7:$A$106,0)+6),"View this entry →")</f>
        <v>View this entry →</v>
      </c>
      <c r="L161" s="17"/>
      <c r="M161" s="17"/>
      <c r="N161" s="17"/>
      <c r="O161" s="1"/>
      <c r="P161" s="17" t="str">
        <f>HYPERLINK("#'The 100'!B"&amp;(MATCH(52,'The 100'!$A$7:$A$106,0)+6),"View this entry →")</f>
        <v>View this entry →</v>
      </c>
      <c r="Q161" s="17"/>
      <c r="R161" s="17"/>
      <c r="S161" s="17"/>
    </row>
    <row r="162" spans="1:19" ht="21" customHeight="1">
      <c r="A162" s="1"/>
      <c r="B162" s="1"/>
      <c r="C162" s="1"/>
      <c r="D162" s="1"/>
      <c r="E162" s="1"/>
      <c r="F162" s="1"/>
      <c r="G162" s="1"/>
      <c r="H162" s="1"/>
      <c r="I162" s="1"/>
      <c r="J162" s="1"/>
      <c r="K162" s="1"/>
      <c r="L162" s="1"/>
      <c r="M162" s="1"/>
      <c r="N162" s="1"/>
      <c r="O162" s="1"/>
      <c r="P162" s="1"/>
      <c r="Q162" s="1"/>
      <c r="R162" s="1"/>
      <c r="S162" s="1"/>
    </row>
    <row r="163" spans="1:19" ht="21" customHeight="1">
      <c r="A163" s="39" t="s">
        <v>399</v>
      </c>
      <c r="B163" s="39"/>
      <c r="C163" s="39"/>
      <c r="D163" s="39"/>
      <c r="E163" s="1"/>
      <c r="F163" s="39" t="s">
        <v>401</v>
      </c>
      <c r="G163" s="39"/>
      <c r="H163" s="39"/>
      <c r="I163" s="39"/>
      <c r="J163" s="1"/>
      <c r="K163" s="39" t="s">
        <v>403</v>
      </c>
      <c r="L163" s="39"/>
      <c r="M163" s="39"/>
      <c r="N163" s="39"/>
      <c r="O163" s="1"/>
      <c r="P163" s="39" t="s">
        <v>404</v>
      </c>
      <c r="Q163" s="39"/>
      <c r="R163" s="39"/>
      <c r="S163" s="39"/>
    </row>
    <row r="164" spans="1:19" ht="21" customHeight="1">
      <c r="A164" s="39"/>
      <c r="B164" s="39"/>
      <c r="C164" s="39"/>
      <c r="D164" s="39"/>
      <c r="E164" s="1"/>
      <c r="F164" s="39"/>
      <c r="G164" s="39"/>
      <c r="H164" s="39"/>
      <c r="I164" s="39"/>
      <c r="J164" s="1"/>
      <c r="K164" s="39"/>
      <c r="L164" s="39"/>
      <c r="M164" s="39"/>
      <c r="N164" s="39"/>
      <c r="O164" s="1"/>
      <c r="P164" s="39"/>
      <c r="Q164" s="39"/>
      <c r="R164" s="39"/>
      <c r="S164" s="39"/>
    </row>
    <row r="165" spans="1:19" ht="21" customHeight="1">
      <c r="A165" s="39"/>
      <c r="B165" s="39"/>
      <c r="C165" s="39"/>
      <c r="D165" s="39"/>
      <c r="E165" s="1"/>
      <c r="F165" s="39"/>
      <c r="G165" s="39"/>
      <c r="H165" s="39"/>
      <c r="I165" s="39"/>
      <c r="J165" s="1"/>
      <c r="K165" s="39"/>
      <c r="L165" s="39"/>
      <c r="M165" s="39"/>
      <c r="N165" s="39"/>
      <c r="O165" s="1"/>
      <c r="P165" s="39"/>
      <c r="Q165" s="39"/>
      <c r="R165" s="39"/>
      <c r="S165" s="39"/>
    </row>
    <row r="166" spans="1:19" ht="21" customHeight="1">
      <c r="A166" s="40"/>
      <c r="B166" s="40"/>
      <c r="C166" s="40"/>
      <c r="D166" s="40"/>
      <c r="E166" s="1"/>
      <c r="F166" s="40"/>
      <c r="G166" s="40"/>
      <c r="H166" s="40"/>
      <c r="I166" s="40"/>
      <c r="J166" s="1"/>
      <c r="K166" s="40"/>
      <c r="L166" s="40"/>
      <c r="M166" s="40"/>
      <c r="N166" s="40"/>
      <c r="O166" s="1"/>
      <c r="P166" s="40"/>
      <c r="Q166" s="40"/>
      <c r="R166" s="40"/>
      <c r="S166" s="40"/>
    </row>
    <row r="167" spans="1:19" ht="21" customHeight="1">
      <c r="A167" s="40"/>
      <c r="B167" s="40"/>
      <c r="C167" s="40"/>
      <c r="D167" s="40"/>
      <c r="E167" s="1"/>
      <c r="F167" s="40"/>
      <c r="G167" s="40"/>
      <c r="H167" s="40"/>
      <c r="I167" s="40"/>
      <c r="J167" s="1"/>
      <c r="K167" s="40"/>
      <c r="L167" s="40"/>
      <c r="M167" s="40"/>
      <c r="N167" s="40"/>
      <c r="O167" s="1"/>
      <c r="P167" s="40"/>
      <c r="Q167" s="40"/>
      <c r="R167" s="40"/>
      <c r="S167" s="40"/>
    </row>
    <row r="168" spans="1:19" ht="21" customHeight="1">
      <c r="A168" s="40"/>
      <c r="B168" s="40"/>
      <c r="C168" s="40"/>
      <c r="D168" s="40"/>
      <c r="E168" s="1"/>
      <c r="F168" s="40"/>
      <c r="G168" s="40"/>
      <c r="H168" s="40"/>
      <c r="I168" s="40"/>
      <c r="J168" s="1"/>
      <c r="K168" s="40"/>
      <c r="L168" s="40"/>
      <c r="M168" s="40"/>
      <c r="N168" s="40"/>
      <c r="O168" s="1"/>
      <c r="P168" s="40"/>
      <c r="Q168" s="40"/>
      <c r="R168" s="40"/>
      <c r="S168" s="40"/>
    </row>
    <row r="169" spans="1:19" ht="21" customHeight="1">
      <c r="A169" s="40"/>
      <c r="B169" s="40"/>
      <c r="C169" s="40"/>
      <c r="D169" s="40"/>
      <c r="E169" s="1"/>
      <c r="F169" s="40"/>
      <c r="G169" s="40"/>
      <c r="H169" s="40"/>
      <c r="I169" s="40"/>
      <c r="J169" s="1"/>
      <c r="K169" s="40"/>
      <c r="L169" s="40"/>
      <c r="M169" s="40"/>
      <c r="N169" s="40"/>
      <c r="O169" s="1"/>
      <c r="P169" s="40"/>
      <c r="Q169" s="40"/>
      <c r="R169" s="40"/>
      <c r="S169" s="40"/>
    </row>
    <row r="170" spans="1:19" ht="21" customHeight="1">
      <c r="A170" s="40"/>
      <c r="B170" s="40"/>
      <c r="C170" s="40"/>
      <c r="D170" s="40"/>
      <c r="E170" s="1"/>
      <c r="F170" s="40"/>
      <c r="G170" s="40"/>
      <c r="H170" s="40"/>
      <c r="I170" s="40"/>
      <c r="J170" s="1"/>
      <c r="K170" s="40"/>
      <c r="L170" s="40"/>
      <c r="M170" s="40"/>
      <c r="N170" s="40"/>
      <c r="O170" s="1"/>
      <c r="P170" s="40"/>
      <c r="Q170" s="40"/>
      <c r="R170" s="40"/>
      <c r="S170" s="40"/>
    </row>
    <row r="171" spans="1:19" ht="21" customHeight="1">
      <c r="A171" s="40"/>
      <c r="B171" s="40"/>
      <c r="C171" s="40"/>
      <c r="D171" s="40"/>
      <c r="E171" s="1"/>
      <c r="F171" s="40"/>
      <c r="G171" s="40"/>
      <c r="H171" s="40"/>
      <c r="I171" s="40"/>
      <c r="J171" s="1"/>
      <c r="K171" s="40"/>
      <c r="L171" s="40"/>
      <c r="M171" s="40"/>
      <c r="N171" s="40"/>
      <c r="O171" s="1"/>
      <c r="P171" s="40"/>
      <c r="Q171" s="40"/>
      <c r="R171" s="40"/>
      <c r="S171" s="40"/>
    </row>
    <row r="172" spans="1:19" ht="21" customHeight="1">
      <c r="A172" s="41" t="s">
        <v>400</v>
      </c>
      <c r="B172" s="41"/>
      <c r="C172" s="41"/>
      <c r="D172" s="41"/>
      <c r="E172" s="1"/>
      <c r="F172" s="41" t="s">
        <v>402</v>
      </c>
      <c r="G172" s="41"/>
      <c r="H172" s="41"/>
      <c r="I172" s="41"/>
      <c r="J172" s="1"/>
      <c r="K172" s="41" t="s">
        <v>396</v>
      </c>
      <c r="L172" s="41"/>
      <c r="M172" s="41"/>
      <c r="N172" s="41"/>
      <c r="O172" s="1"/>
      <c r="P172" s="41" t="s">
        <v>398</v>
      </c>
      <c r="Q172" s="41"/>
      <c r="R172" s="41"/>
      <c r="S172" s="41"/>
    </row>
    <row r="173" spans="1:19" ht="21" customHeight="1">
      <c r="A173" s="17" t="str">
        <f>HYPERLINK("#'The 100'!B"&amp;(MATCH(53,'The 100'!$A$7:$A$106,0)+6),"View this entry →")</f>
        <v>View this entry →</v>
      </c>
      <c r="B173" s="17"/>
      <c r="C173" s="17"/>
      <c r="D173" s="17"/>
      <c r="E173" s="1"/>
      <c r="F173" s="17" t="str">
        <f>HYPERLINK("#'The 100'!B"&amp;(MATCH(54,'The 100'!$A$7:$A$106,0)+6),"View this entry →")</f>
        <v>View this entry →</v>
      </c>
      <c r="G173" s="17"/>
      <c r="H173" s="17"/>
      <c r="I173" s="17"/>
      <c r="J173" s="1"/>
      <c r="K173" s="17" t="str">
        <f>HYPERLINK("#'The 100'!B"&amp;(MATCH(55,'The 100'!$A$7:$A$106,0)+6),"View this entry →")</f>
        <v>View this entry →</v>
      </c>
      <c r="L173" s="17"/>
      <c r="M173" s="17"/>
      <c r="N173" s="17"/>
      <c r="O173" s="1"/>
      <c r="P173" s="17" t="str">
        <f>HYPERLINK("#'The 100'!B"&amp;(MATCH(56,'The 100'!$A$7:$A$106,0)+6),"View this entry →")</f>
        <v>View this entry →</v>
      </c>
      <c r="Q173" s="17"/>
      <c r="R173" s="17"/>
      <c r="S173" s="17"/>
    </row>
    <row r="174" spans="1:19" ht="21" customHeight="1">
      <c r="A174" s="1"/>
      <c r="B174" s="1"/>
      <c r="C174" s="1"/>
      <c r="D174" s="1"/>
      <c r="E174" s="1"/>
      <c r="F174" s="1"/>
      <c r="G174" s="1"/>
      <c r="H174" s="1"/>
      <c r="I174" s="1"/>
      <c r="J174" s="1"/>
      <c r="K174" s="1"/>
      <c r="L174" s="1"/>
      <c r="M174" s="1"/>
      <c r="N174" s="1"/>
      <c r="O174" s="1"/>
      <c r="P174" s="1"/>
      <c r="Q174" s="1"/>
      <c r="R174" s="1"/>
      <c r="S174" s="1"/>
    </row>
    <row r="175" spans="1:19" ht="21" customHeight="1">
      <c r="A175" s="39" t="s">
        <v>405</v>
      </c>
      <c r="B175" s="39"/>
      <c r="C175" s="39"/>
      <c r="D175" s="39"/>
      <c r="E175" s="1"/>
      <c r="F175" s="39" t="s">
        <v>407</v>
      </c>
      <c r="G175" s="39"/>
      <c r="H175" s="39"/>
      <c r="I175" s="39"/>
      <c r="J175" s="1"/>
      <c r="K175" s="39" t="s">
        <v>409</v>
      </c>
      <c r="L175" s="39"/>
      <c r="M175" s="39"/>
      <c r="N175" s="39"/>
      <c r="O175" s="1"/>
      <c r="P175" s="39" t="s">
        <v>411</v>
      </c>
      <c r="Q175" s="39"/>
      <c r="R175" s="39"/>
      <c r="S175" s="39"/>
    </row>
    <row r="176" spans="1:19" ht="21" customHeight="1">
      <c r="A176" s="39"/>
      <c r="B176" s="39"/>
      <c r="C176" s="39"/>
      <c r="D176" s="39"/>
      <c r="E176" s="1"/>
      <c r="F176" s="39"/>
      <c r="G176" s="39"/>
      <c r="H176" s="39"/>
      <c r="I176" s="39"/>
      <c r="J176" s="1"/>
      <c r="K176" s="39"/>
      <c r="L176" s="39"/>
      <c r="M176" s="39"/>
      <c r="N176" s="39"/>
      <c r="O176" s="1"/>
      <c r="P176" s="39"/>
      <c r="Q176" s="39"/>
      <c r="R176" s="39"/>
      <c r="S176" s="39"/>
    </row>
    <row r="177" spans="1:19" ht="21" customHeight="1">
      <c r="A177" s="39"/>
      <c r="B177" s="39"/>
      <c r="C177" s="39"/>
      <c r="D177" s="39"/>
      <c r="E177" s="1"/>
      <c r="F177" s="39"/>
      <c r="G177" s="39"/>
      <c r="H177" s="39"/>
      <c r="I177" s="39"/>
      <c r="J177" s="1"/>
      <c r="K177" s="39"/>
      <c r="L177" s="39"/>
      <c r="M177" s="39"/>
      <c r="N177" s="39"/>
      <c r="O177" s="1"/>
      <c r="P177" s="39"/>
      <c r="Q177" s="39"/>
      <c r="R177" s="39"/>
      <c r="S177" s="39"/>
    </row>
    <row r="178" spans="1:19" ht="21" customHeight="1">
      <c r="A178" s="40"/>
      <c r="B178" s="40"/>
      <c r="C178" s="40"/>
      <c r="D178" s="40"/>
      <c r="E178" s="1"/>
      <c r="F178" s="40"/>
      <c r="G178" s="40"/>
      <c r="H178" s="40"/>
      <c r="I178" s="40"/>
      <c r="J178" s="1"/>
      <c r="K178" s="40"/>
      <c r="L178" s="40"/>
      <c r="M178" s="40"/>
      <c r="N178" s="40"/>
      <c r="O178" s="1"/>
      <c r="P178" s="40"/>
      <c r="Q178" s="40"/>
      <c r="R178" s="40"/>
      <c r="S178" s="40"/>
    </row>
    <row r="179" spans="1:19" ht="21" customHeight="1">
      <c r="A179" s="40"/>
      <c r="B179" s="40"/>
      <c r="C179" s="40"/>
      <c r="D179" s="40"/>
      <c r="E179" s="1"/>
      <c r="F179" s="40"/>
      <c r="G179" s="40"/>
      <c r="H179" s="40"/>
      <c r="I179" s="40"/>
      <c r="J179" s="1"/>
      <c r="K179" s="40"/>
      <c r="L179" s="40"/>
      <c r="M179" s="40"/>
      <c r="N179" s="40"/>
      <c r="O179" s="1"/>
      <c r="P179" s="40"/>
      <c r="Q179" s="40"/>
      <c r="R179" s="40"/>
      <c r="S179" s="40"/>
    </row>
    <row r="180" spans="1:19" ht="21" customHeight="1">
      <c r="A180" s="40"/>
      <c r="B180" s="40"/>
      <c r="C180" s="40"/>
      <c r="D180" s="40"/>
      <c r="E180" s="1"/>
      <c r="F180" s="40"/>
      <c r="G180" s="40"/>
      <c r="H180" s="40"/>
      <c r="I180" s="40"/>
      <c r="J180" s="1"/>
      <c r="K180" s="40"/>
      <c r="L180" s="40"/>
      <c r="M180" s="40"/>
      <c r="N180" s="40"/>
      <c r="O180" s="1"/>
      <c r="P180" s="40"/>
      <c r="Q180" s="40"/>
      <c r="R180" s="40"/>
      <c r="S180" s="40"/>
    </row>
    <row r="181" spans="1:19" ht="21" customHeight="1">
      <c r="A181" s="40"/>
      <c r="B181" s="40"/>
      <c r="C181" s="40"/>
      <c r="D181" s="40"/>
      <c r="E181" s="1"/>
      <c r="F181" s="40"/>
      <c r="G181" s="40"/>
      <c r="H181" s="40"/>
      <c r="I181" s="40"/>
      <c r="J181" s="1"/>
      <c r="K181" s="40"/>
      <c r="L181" s="40"/>
      <c r="M181" s="40"/>
      <c r="N181" s="40"/>
      <c r="O181" s="1"/>
      <c r="P181" s="40"/>
      <c r="Q181" s="40"/>
      <c r="R181" s="40"/>
      <c r="S181" s="40"/>
    </row>
    <row r="182" spans="1:19" ht="21" customHeight="1">
      <c r="A182" s="40"/>
      <c r="B182" s="40"/>
      <c r="C182" s="40"/>
      <c r="D182" s="40"/>
      <c r="E182" s="1"/>
      <c r="F182" s="40"/>
      <c r="G182" s="40"/>
      <c r="H182" s="40"/>
      <c r="I182" s="40"/>
      <c r="J182" s="1"/>
      <c r="K182" s="40"/>
      <c r="L182" s="40"/>
      <c r="M182" s="40"/>
      <c r="N182" s="40"/>
      <c r="O182" s="1"/>
      <c r="P182" s="40"/>
      <c r="Q182" s="40"/>
      <c r="R182" s="40"/>
      <c r="S182" s="40"/>
    </row>
    <row r="183" spans="1:19" ht="21" customHeight="1">
      <c r="A183" s="40"/>
      <c r="B183" s="40"/>
      <c r="C183" s="40"/>
      <c r="D183" s="40"/>
      <c r="E183" s="1"/>
      <c r="F183" s="40"/>
      <c r="G183" s="40"/>
      <c r="H183" s="40"/>
      <c r="I183" s="40"/>
      <c r="J183" s="1"/>
      <c r="K183" s="40"/>
      <c r="L183" s="40"/>
      <c r="M183" s="40"/>
      <c r="N183" s="40"/>
      <c r="O183" s="1"/>
      <c r="P183" s="40"/>
      <c r="Q183" s="40"/>
      <c r="R183" s="40"/>
      <c r="S183" s="40"/>
    </row>
    <row r="184" spans="1:19" ht="21" customHeight="1">
      <c r="A184" s="41" t="s">
        <v>406</v>
      </c>
      <c r="B184" s="41"/>
      <c r="C184" s="41"/>
      <c r="D184" s="41"/>
      <c r="E184" s="1"/>
      <c r="F184" s="41" t="s">
        <v>408</v>
      </c>
      <c r="G184" s="41"/>
      <c r="H184" s="41"/>
      <c r="I184" s="41"/>
      <c r="J184" s="1"/>
      <c r="K184" s="41" t="s">
        <v>410</v>
      </c>
      <c r="L184" s="41"/>
      <c r="M184" s="41"/>
      <c r="N184" s="41"/>
      <c r="O184" s="1"/>
      <c r="P184" s="41" t="s">
        <v>412</v>
      </c>
      <c r="Q184" s="41"/>
      <c r="R184" s="41"/>
      <c r="S184" s="41"/>
    </row>
    <row r="185" spans="1:19" ht="21" customHeight="1">
      <c r="A185" s="17" t="str">
        <f>HYPERLINK("#'The 100'!B"&amp;(MATCH(57,'The 100'!$A$7:$A$106,0)+6),"View this entry →")</f>
        <v>View this entry →</v>
      </c>
      <c r="B185" s="17"/>
      <c r="C185" s="17"/>
      <c r="D185" s="17"/>
      <c r="E185" s="1"/>
      <c r="F185" s="17" t="str">
        <f>HYPERLINK("#'The 100'!B"&amp;(MATCH(58,'The 100'!$A$7:$A$106,0)+6),"View this entry →")</f>
        <v>View this entry →</v>
      </c>
      <c r="G185" s="17"/>
      <c r="H185" s="17"/>
      <c r="I185" s="17"/>
      <c r="J185" s="1"/>
      <c r="K185" s="17" t="str">
        <f>HYPERLINK("#'The 100'!B"&amp;(MATCH(59,'The 100'!$A$7:$A$106,0)+6),"View this entry →")</f>
        <v>View this entry →</v>
      </c>
      <c r="L185" s="17"/>
      <c r="M185" s="17"/>
      <c r="N185" s="17"/>
      <c r="O185" s="1"/>
      <c r="P185" s="17" t="str">
        <f>HYPERLINK("#'The 100'!B"&amp;(MATCH(60,'The 100'!$A$7:$A$106,0)+6),"View this entry →")</f>
        <v>View this entry →</v>
      </c>
      <c r="Q185" s="17"/>
      <c r="R185" s="17"/>
      <c r="S185" s="17"/>
    </row>
    <row r="186" spans="1:19" ht="21" customHeight="1">
      <c r="A186" s="1"/>
      <c r="B186" s="1"/>
      <c r="C186" s="1"/>
      <c r="D186" s="1"/>
      <c r="E186" s="1"/>
      <c r="F186" s="1"/>
      <c r="G186" s="1"/>
      <c r="H186" s="1"/>
      <c r="I186" s="1"/>
      <c r="J186" s="1"/>
      <c r="K186" s="1"/>
      <c r="L186" s="1"/>
      <c r="M186" s="1"/>
      <c r="N186" s="1"/>
      <c r="O186" s="1"/>
      <c r="P186" s="1"/>
      <c r="Q186" s="1"/>
      <c r="R186" s="1"/>
      <c r="S186" s="1"/>
    </row>
    <row r="187" spans="1:19" ht="21" customHeight="1">
      <c r="A187" s="39" t="s">
        <v>413</v>
      </c>
      <c r="B187" s="39"/>
      <c r="C187" s="39"/>
      <c r="D187" s="39"/>
      <c r="E187" s="1"/>
      <c r="F187" s="39" t="s">
        <v>414</v>
      </c>
      <c r="G187" s="39"/>
      <c r="H187" s="39"/>
      <c r="I187" s="39"/>
      <c r="J187" s="1"/>
      <c r="K187" s="39" t="s">
        <v>416</v>
      </c>
      <c r="L187" s="39"/>
      <c r="M187" s="39"/>
      <c r="N187" s="39"/>
      <c r="O187" s="1"/>
      <c r="P187" s="39" t="s">
        <v>418</v>
      </c>
      <c r="Q187" s="39"/>
      <c r="R187" s="39"/>
      <c r="S187" s="39"/>
    </row>
    <row r="188" spans="1:19" ht="21" customHeight="1">
      <c r="A188" s="39"/>
      <c r="B188" s="39"/>
      <c r="C188" s="39"/>
      <c r="D188" s="39"/>
      <c r="E188" s="1"/>
      <c r="F188" s="39"/>
      <c r="G188" s="39"/>
      <c r="H188" s="39"/>
      <c r="I188" s="39"/>
      <c r="J188" s="1"/>
      <c r="K188" s="39"/>
      <c r="L188" s="39"/>
      <c r="M188" s="39"/>
      <c r="N188" s="39"/>
      <c r="O188" s="1"/>
      <c r="P188" s="39"/>
      <c r="Q188" s="39"/>
      <c r="R188" s="39"/>
      <c r="S188" s="39"/>
    </row>
    <row r="189" spans="1:19" ht="21" customHeight="1">
      <c r="A189" s="39"/>
      <c r="B189" s="39"/>
      <c r="C189" s="39"/>
      <c r="D189" s="39"/>
      <c r="E189" s="1"/>
      <c r="F189" s="39"/>
      <c r="G189" s="39"/>
      <c r="H189" s="39"/>
      <c r="I189" s="39"/>
      <c r="J189" s="1"/>
      <c r="K189" s="39"/>
      <c r="L189" s="39"/>
      <c r="M189" s="39"/>
      <c r="N189" s="39"/>
      <c r="O189" s="1"/>
      <c r="P189" s="39"/>
      <c r="Q189" s="39"/>
      <c r="R189" s="39"/>
      <c r="S189" s="39"/>
    </row>
    <row r="190" spans="1:19" ht="21" customHeight="1">
      <c r="A190" s="40"/>
      <c r="B190" s="40"/>
      <c r="C190" s="40"/>
      <c r="D190" s="40"/>
      <c r="E190" s="1"/>
      <c r="F190" s="40"/>
      <c r="G190" s="40"/>
      <c r="H190" s="40"/>
      <c r="I190" s="40"/>
      <c r="J190" s="1"/>
      <c r="K190" s="40"/>
      <c r="L190" s="40"/>
      <c r="M190" s="40"/>
      <c r="N190" s="40"/>
      <c r="O190" s="1"/>
      <c r="P190" s="40"/>
      <c r="Q190" s="40"/>
      <c r="R190" s="40"/>
      <c r="S190" s="40"/>
    </row>
    <row r="191" spans="1:19" ht="21" customHeight="1">
      <c r="A191" s="40"/>
      <c r="B191" s="40"/>
      <c r="C191" s="40"/>
      <c r="D191" s="40"/>
      <c r="E191" s="1"/>
      <c r="F191" s="40"/>
      <c r="G191" s="40"/>
      <c r="H191" s="40"/>
      <c r="I191" s="40"/>
      <c r="J191" s="1"/>
      <c r="K191" s="40"/>
      <c r="L191" s="40"/>
      <c r="M191" s="40"/>
      <c r="N191" s="40"/>
      <c r="O191" s="1"/>
      <c r="P191" s="40"/>
      <c r="Q191" s="40"/>
      <c r="R191" s="40"/>
      <c r="S191" s="40"/>
    </row>
    <row r="192" spans="1:19" ht="21" customHeight="1">
      <c r="A192" s="40"/>
      <c r="B192" s="40"/>
      <c r="C192" s="40"/>
      <c r="D192" s="40"/>
      <c r="E192" s="1"/>
      <c r="F192" s="40"/>
      <c r="G192" s="40"/>
      <c r="H192" s="40"/>
      <c r="I192" s="40"/>
      <c r="J192" s="1"/>
      <c r="K192" s="40"/>
      <c r="L192" s="40"/>
      <c r="M192" s="40"/>
      <c r="N192" s="40"/>
      <c r="O192" s="1"/>
      <c r="P192" s="40"/>
      <c r="Q192" s="40"/>
      <c r="R192" s="40"/>
      <c r="S192" s="40"/>
    </row>
    <row r="193" spans="1:19" ht="21" customHeight="1">
      <c r="A193" s="40"/>
      <c r="B193" s="40"/>
      <c r="C193" s="40"/>
      <c r="D193" s="40"/>
      <c r="E193" s="1"/>
      <c r="F193" s="40"/>
      <c r="G193" s="40"/>
      <c r="H193" s="40"/>
      <c r="I193" s="40"/>
      <c r="J193" s="1"/>
      <c r="K193" s="40"/>
      <c r="L193" s="40"/>
      <c r="M193" s="40"/>
      <c r="N193" s="40"/>
      <c r="O193" s="1"/>
      <c r="P193" s="40"/>
      <c r="Q193" s="40"/>
      <c r="R193" s="40"/>
      <c r="S193" s="40"/>
    </row>
    <row r="194" spans="1:19" ht="21" customHeight="1">
      <c r="A194" s="40"/>
      <c r="B194" s="40"/>
      <c r="C194" s="40"/>
      <c r="D194" s="40"/>
      <c r="E194" s="1"/>
      <c r="F194" s="40"/>
      <c r="G194" s="40"/>
      <c r="H194" s="40"/>
      <c r="I194" s="40"/>
      <c r="J194" s="1"/>
      <c r="K194" s="40"/>
      <c r="L194" s="40"/>
      <c r="M194" s="40"/>
      <c r="N194" s="40"/>
      <c r="O194" s="1"/>
      <c r="P194" s="40"/>
      <c r="Q194" s="40"/>
      <c r="R194" s="40"/>
      <c r="S194" s="40"/>
    </row>
    <row r="195" spans="1:19" ht="21" customHeight="1">
      <c r="A195" s="40"/>
      <c r="B195" s="40"/>
      <c r="C195" s="40"/>
      <c r="D195" s="40"/>
      <c r="E195" s="1"/>
      <c r="F195" s="40"/>
      <c r="G195" s="40"/>
      <c r="H195" s="40"/>
      <c r="I195" s="40"/>
      <c r="J195" s="1"/>
      <c r="K195" s="40"/>
      <c r="L195" s="40"/>
      <c r="M195" s="40"/>
      <c r="N195" s="40"/>
      <c r="O195" s="1"/>
      <c r="P195" s="40"/>
      <c r="Q195" s="40"/>
      <c r="R195" s="40"/>
      <c r="S195" s="40"/>
    </row>
    <row r="196" spans="1:19" ht="21" customHeight="1">
      <c r="A196" s="41" t="s">
        <v>398</v>
      </c>
      <c r="B196" s="41"/>
      <c r="C196" s="41"/>
      <c r="D196" s="41"/>
      <c r="E196" s="1"/>
      <c r="F196" s="41" t="s">
        <v>415</v>
      </c>
      <c r="G196" s="41"/>
      <c r="H196" s="41"/>
      <c r="I196" s="41"/>
      <c r="J196" s="1"/>
      <c r="K196" s="41" t="s">
        <v>417</v>
      </c>
      <c r="L196" s="41"/>
      <c r="M196" s="41"/>
      <c r="N196" s="41"/>
      <c r="O196" s="1"/>
      <c r="P196" s="41" t="s">
        <v>419</v>
      </c>
      <c r="Q196" s="41"/>
      <c r="R196" s="41"/>
      <c r="S196" s="41"/>
    </row>
    <row r="197" spans="1:19" ht="21" customHeight="1">
      <c r="A197" s="17" t="str">
        <f>HYPERLINK("#'The 100'!B"&amp;(MATCH(61,'The 100'!$A$7:$A$106,0)+6),"View this entry →")</f>
        <v>View this entry →</v>
      </c>
      <c r="B197" s="17"/>
      <c r="C197" s="17"/>
      <c r="D197" s="17"/>
      <c r="E197" s="1"/>
      <c r="F197" s="17" t="str">
        <f>HYPERLINK("#'The 100'!B"&amp;(MATCH(62,'The 100'!$A$7:$A$106,0)+6),"View this entry →")</f>
        <v>View this entry →</v>
      </c>
      <c r="G197" s="17"/>
      <c r="H197" s="17"/>
      <c r="I197" s="17"/>
      <c r="J197" s="1"/>
      <c r="K197" s="17" t="str">
        <f>HYPERLINK("#'The 100'!B"&amp;(MATCH(63,'The 100'!$A$7:$A$106,0)+6),"View this entry →")</f>
        <v>View this entry →</v>
      </c>
      <c r="L197" s="17"/>
      <c r="M197" s="17"/>
      <c r="N197" s="17"/>
      <c r="O197" s="1"/>
      <c r="P197" s="17" t="str">
        <f>HYPERLINK("#'The 100'!B"&amp;(MATCH(64,'The 100'!$A$7:$A$106,0)+6),"View this entry →")</f>
        <v>View this entry →</v>
      </c>
      <c r="Q197" s="17"/>
      <c r="R197" s="17"/>
      <c r="S197" s="17"/>
    </row>
    <row r="198" spans="1:19" ht="21" customHeight="1">
      <c r="A198" s="1"/>
      <c r="B198" s="1"/>
      <c r="C198" s="1"/>
      <c r="D198" s="1"/>
      <c r="E198" s="1"/>
      <c r="F198" s="1"/>
      <c r="G198" s="1"/>
      <c r="H198" s="1"/>
      <c r="I198" s="1"/>
      <c r="J198" s="1"/>
      <c r="K198" s="1"/>
      <c r="L198" s="1"/>
      <c r="M198" s="1"/>
      <c r="N198" s="1"/>
      <c r="O198" s="1"/>
      <c r="P198" s="1"/>
      <c r="Q198" s="1"/>
      <c r="R198" s="1"/>
      <c r="S198" s="1"/>
    </row>
    <row r="199" spans="1:19" ht="21" customHeight="1">
      <c r="A199" s="39" t="s">
        <v>420</v>
      </c>
      <c r="B199" s="39"/>
      <c r="C199" s="39"/>
      <c r="D199" s="39"/>
      <c r="E199" s="1"/>
      <c r="F199" s="39" t="s">
        <v>421</v>
      </c>
      <c r="G199" s="39"/>
      <c r="H199" s="39"/>
      <c r="I199" s="39"/>
      <c r="J199" s="1"/>
      <c r="K199" s="39" t="s">
        <v>423</v>
      </c>
      <c r="L199" s="39"/>
      <c r="M199" s="39"/>
      <c r="N199" s="39"/>
      <c r="O199" s="1"/>
      <c r="P199" s="39" t="s">
        <v>424</v>
      </c>
      <c r="Q199" s="39"/>
      <c r="R199" s="39"/>
      <c r="S199" s="39"/>
    </row>
    <row r="200" spans="1:19" ht="21" customHeight="1">
      <c r="A200" s="39"/>
      <c r="B200" s="39"/>
      <c r="C200" s="39"/>
      <c r="D200" s="39"/>
      <c r="E200" s="1"/>
      <c r="F200" s="39"/>
      <c r="G200" s="39"/>
      <c r="H200" s="39"/>
      <c r="I200" s="39"/>
      <c r="J200" s="1"/>
      <c r="K200" s="39"/>
      <c r="L200" s="39"/>
      <c r="M200" s="39"/>
      <c r="N200" s="39"/>
      <c r="O200" s="1"/>
      <c r="P200" s="39"/>
      <c r="Q200" s="39"/>
      <c r="R200" s="39"/>
      <c r="S200" s="39"/>
    </row>
    <row r="201" spans="1:19" ht="21" customHeight="1">
      <c r="A201" s="39"/>
      <c r="B201" s="39"/>
      <c r="C201" s="39"/>
      <c r="D201" s="39"/>
      <c r="E201" s="1"/>
      <c r="F201" s="39"/>
      <c r="G201" s="39"/>
      <c r="H201" s="39"/>
      <c r="I201" s="39"/>
      <c r="J201" s="1"/>
      <c r="K201" s="39"/>
      <c r="L201" s="39"/>
      <c r="M201" s="39"/>
      <c r="N201" s="39"/>
      <c r="O201" s="1"/>
      <c r="P201" s="39"/>
      <c r="Q201" s="39"/>
      <c r="R201" s="39"/>
      <c r="S201" s="39"/>
    </row>
    <row r="202" spans="1:19" ht="21" customHeight="1">
      <c r="A202" s="40"/>
      <c r="B202" s="40"/>
      <c r="C202" s="40"/>
      <c r="D202" s="40"/>
      <c r="E202" s="1"/>
      <c r="F202" s="40"/>
      <c r="G202" s="40"/>
      <c r="H202" s="40"/>
      <c r="I202" s="40"/>
      <c r="J202" s="1"/>
      <c r="K202" s="40"/>
      <c r="L202" s="40"/>
      <c r="M202" s="40"/>
      <c r="N202" s="40"/>
      <c r="O202" s="1"/>
      <c r="P202" s="40"/>
      <c r="Q202" s="40"/>
      <c r="R202" s="40"/>
      <c r="S202" s="40"/>
    </row>
    <row r="203" spans="1:19" ht="21" customHeight="1">
      <c r="A203" s="40"/>
      <c r="B203" s="40"/>
      <c r="C203" s="40"/>
      <c r="D203" s="40"/>
      <c r="E203" s="1"/>
      <c r="F203" s="40"/>
      <c r="G203" s="40"/>
      <c r="H203" s="40"/>
      <c r="I203" s="40"/>
      <c r="J203" s="1"/>
      <c r="K203" s="40"/>
      <c r="L203" s="40"/>
      <c r="M203" s="40"/>
      <c r="N203" s="40"/>
      <c r="O203" s="1"/>
      <c r="P203" s="40"/>
      <c r="Q203" s="40"/>
      <c r="R203" s="40"/>
      <c r="S203" s="40"/>
    </row>
    <row r="204" spans="1:19" ht="21" customHeight="1">
      <c r="A204" s="40"/>
      <c r="B204" s="40"/>
      <c r="C204" s="40"/>
      <c r="D204" s="40"/>
      <c r="E204" s="1"/>
      <c r="F204" s="40"/>
      <c r="G204" s="40"/>
      <c r="H204" s="40"/>
      <c r="I204" s="40"/>
      <c r="J204" s="1"/>
      <c r="K204" s="40"/>
      <c r="L204" s="40"/>
      <c r="M204" s="40"/>
      <c r="N204" s="40"/>
      <c r="O204" s="1"/>
      <c r="P204" s="40"/>
      <c r="Q204" s="40"/>
      <c r="R204" s="40"/>
      <c r="S204" s="40"/>
    </row>
    <row r="205" spans="1:19" ht="21" customHeight="1">
      <c r="A205" s="40"/>
      <c r="B205" s="40"/>
      <c r="C205" s="40"/>
      <c r="D205" s="40"/>
      <c r="E205" s="1"/>
      <c r="F205" s="40"/>
      <c r="G205" s="40"/>
      <c r="H205" s="40"/>
      <c r="I205" s="40"/>
      <c r="J205" s="1"/>
      <c r="K205" s="40"/>
      <c r="L205" s="40"/>
      <c r="M205" s="40"/>
      <c r="N205" s="40"/>
      <c r="O205" s="1"/>
      <c r="P205" s="40"/>
      <c r="Q205" s="40"/>
      <c r="R205" s="40"/>
      <c r="S205" s="40"/>
    </row>
    <row r="206" spans="1:19" ht="21" customHeight="1">
      <c r="A206" s="40"/>
      <c r="B206" s="40"/>
      <c r="C206" s="40"/>
      <c r="D206" s="40"/>
      <c r="E206" s="1"/>
      <c r="F206" s="40"/>
      <c r="G206" s="40"/>
      <c r="H206" s="40"/>
      <c r="I206" s="40"/>
      <c r="J206" s="1"/>
      <c r="K206" s="40"/>
      <c r="L206" s="40"/>
      <c r="M206" s="40"/>
      <c r="N206" s="40"/>
      <c r="O206" s="1"/>
      <c r="P206" s="40"/>
      <c r="Q206" s="40"/>
      <c r="R206" s="40"/>
      <c r="S206" s="40"/>
    </row>
    <row r="207" spans="1:19" ht="21" customHeight="1">
      <c r="A207" s="40"/>
      <c r="B207" s="40"/>
      <c r="C207" s="40"/>
      <c r="D207" s="40"/>
      <c r="E207" s="1"/>
      <c r="F207" s="40"/>
      <c r="G207" s="40"/>
      <c r="H207" s="40"/>
      <c r="I207" s="40"/>
      <c r="J207" s="1"/>
      <c r="K207" s="40"/>
      <c r="L207" s="40"/>
      <c r="M207" s="40"/>
      <c r="N207" s="40"/>
      <c r="O207" s="1"/>
      <c r="P207" s="40"/>
      <c r="Q207" s="40"/>
      <c r="R207" s="40"/>
      <c r="S207" s="40"/>
    </row>
    <row r="208" spans="1:19" ht="21" customHeight="1">
      <c r="A208" s="41" t="s">
        <v>406</v>
      </c>
      <c r="B208" s="41"/>
      <c r="C208" s="41"/>
      <c r="D208" s="41"/>
      <c r="E208" s="1"/>
      <c r="F208" s="41" t="s">
        <v>422</v>
      </c>
      <c r="G208" s="41"/>
      <c r="H208" s="41"/>
      <c r="I208" s="41"/>
      <c r="J208" s="1"/>
      <c r="K208" s="41" t="s">
        <v>417</v>
      </c>
      <c r="L208" s="41"/>
      <c r="M208" s="41"/>
      <c r="N208" s="41"/>
      <c r="O208" s="1"/>
      <c r="P208" s="41" t="s">
        <v>425</v>
      </c>
      <c r="Q208" s="41"/>
      <c r="R208" s="41"/>
      <c r="S208" s="41"/>
    </row>
    <row r="209" spans="1:19" ht="21" customHeight="1">
      <c r="A209" s="17" t="str">
        <f>HYPERLINK("#'The 100'!B"&amp;(MATCH(65,'The 100'!$A$7:$A$106,0)+6),"View this entry →")</f>
        <v>View this entry →</v>
      </c>
      <c r="B209" s="17"/>
      <c r="C209" s="17"/>
      <c r="D209" s="17"/>
      <c r="E209" s="1"/>
      <c r="F209" s="17" t="str">
        <f>HYPERLINK("#'The 100'!B"&amp;(MATCH(66,'The 100'!$A$7:$A$106,0)+6),"View this entry →")</f>
        <v>View this entry →</v>
      </c>
      <c r="G209" s="17"/>
      <c r="H209" s="17"/>
      <c r="I209" s="17"/>
      <c r="J209" s="1"/>
      <c r="K209" s="17" t="str">
        <f>HYPERLINK("#'The 100'!B"&amp;(MATCH(67,'The 100'!$A$7:$A$106,0)+6),"View this entry →")</f>
        <v>View this entry →</v>
      </c>
      <c r="L209" s="17"/>
      <c r="M209" s="17"/>
      <c r="N209" s="17"/>
      <c r="O209" s="1"/>
      <c r="P209" s="17" t="str">
        <f>HYPERLINK("#'The 100'!B"&amp;(MATCH(68,'The 100'!$A$7:$A$106,0)+6),"View this entry →")</f>
        <v>View this entry →</v>
      </c>
      <c r="Q209" s="17"/>
      <c r="R209" s="17"/>
      <c r="S209" s="17"/>
    </row>
    <row r="210" spans="1:19" ht="21" customHeight="1">
      <c r="A210" s="1"/>
      <c r="B210" s="1"/>
      <c r="C210" s="1"/>
      <c r="D210" s="1"/>
      <c r="E210" s="1"/>
      <c r="F210" s="1"/>
      <c r="G210" s="1"/>
      <c r="H210" s="1"/>
      <c r="I210" s="1"/>
      <c r="J210" s="1"/>
      <c r="K210" s="1"/>
      <c r="L210" s="1"/>
      <c r="M210" s="1"/>
      <c r="N210" s="1"/>
      <c r="O210" s="1"/>
      <c r="P210" s="1"/>
      <c r="Q210" s="1"/>
      <c r="R210" s="1"/>
      <c r="S210" s="1"/>
    </row>
    <row r="211" spans="1:19" ht="21" customHeight="1">
      <c r="A211" s="39" t="s">
        <v>426</v>
      </c>
      <c r="B211" s="39"/>
      <c r="C211" s="39"/>
      <c r="D211" s="39"/>
      <c r="E211" s="1"/>
      <c r="F211" s="39" t="s">
        <v>427</v>
      </c>
      <c r="G211" s="39"/>
      <c r="H211" s="39"/>
      <c r="I211" s="39"/>
      <c r="J211" s="1"/>
      <c r="K211" s="39" t="s">
        <v>429</v>
      </c>
      <c r="L211" s="39"/>
      <c r="M211" s="39"/>
      <c r="N211" s="39"/>
      <c r="O211" s="1"/>
      <c r="P211" s="39" t="s">
        <v>431</v>
      </c>
      <c r="Q211" s="39"/>
      <c r="R211" s="39"/>
      <c r="S211" s="39"/>
    </row>
    <row r="212" spans="1:19" ht="21" customHeight="1">
      <c r="A212" s="39"/>
      <c r="B212" s="39"/>
      <c r="C212" s="39"/>
      <c r="D212" s="39"/>
      <c r="E212" s="1"/>
      <c r="F212" s="39"/>
      <c r="G212" s="39"/>
      <c r="H212" s="39"/>
      <c r="I212" s="39"/>
      <c r="J212" s="1"/>
      <c r="K212" s="39"/>
      <c r="L212" s="39"/>
      <c r="M212" s="39"/>
      <c r="N212" s="39"/>
      <c r="O212" s="1"/>
      <c r="P212" s="39"/>
      <c r="Q212" s="39"/>
      <c r="R212" s="39"/>
      <c r="S212" s="39"/>
    </row>
    <row r="213" spans="1:19" ht="21" customHeight="1">
      <c r="A213" s="39"/>
      <c r="B213" s="39"/>
      <c r="C213" s="39"/>
      <c r="D213" s="39"/>
      <c r="E213" s="1"/>
      <c r="F213" s="39"/>
      <c r="G213" s="39"/>
      <c r="H213" s="39"/>
      <c r="I213" s="39"/>
      <c r="J213" s="1"/>
      <c r="K213" s="39"/>
      <c r="L213" s="39"/>
      <c r="M213" s="39"/>
      <c r="N213" s="39"/>
      <c r="O213" s="1"/>
      <c r="P213" s="39"/>
      <c r="Q213" s="39"/>
      <c r="R213" s="39"/>
      <c r="S213" s="39"/>
    </row>
    <row r="214" spans="1:19" ht="21" customHeight="1">
      <c r="A214" s="40"/>
      <c r="B214" s="40"/>
      <c r="C214" s="40"/>
      <c r="D214" s="40"/>
      <c r="E214" s="1"/>
      <c r="F214" s="40"/>
      <c r="G214" s="40"/>
      <c r="H214" s="40"/>
      <c r="I214" s="40"/>
      <c r="J214" s="1"/>
      <c r="K214" s="40"/>
      <c r="L214" s="40"/>
      <c r="M214" s="40"/>
      <c r="N214" s="40"/>
      <c r="O214" s="1"/>
      <c r="P214" s="40"/>
      <c r="Q214" s="40"/>
      <c r="R214" s="40"/>
      <c r="S214" s="40"/>
    </row>
    <row r="215" spans="1:19" ht="21" customHeight="1">
      <c r="A215" s="40"/>
      <c r="B215" s="40"/>
      <c r="C215" s="40"/>
      <c r="D215" s="40"/>
      <c r="E215" s="1"/>
      <c r="F215" s="40"/>
      <c r="G215" s="40"/>
      <c r="H215" s="40"/>
      <c r="I215" s="40"/>
      <c r="J215" s="1"/>
      <c r="K215" s="40"/>
      <c r="L215" s="40"/>
      <c r="M215" s="40"/>
      <c r="N215" s="40"/>
      <c r="O215" s="1"/>
      <c r="P215" s="40"/>
      <c r="Q215" s="40"/>
      <c r="R215" s="40"/>
      <c r="S215" s="40"/>
    </row>
    <row r="216" spans="1:19" ht="21" customHeight="1">
      <c r="A216" s="40"/>
      <c r="B216" s="40"/>
      <c r="C216" s="40"/>
      <c r="D216" s="40"/>
      <c r="E216" s="1"/>
      <c r="F216" s="40"/>
      <c r="G216" s="40"/>
      <c r="H216" s="40"/>
      <c r="I216" s="40"/>
      <c r="J216" s="1"/>
      <c r="K216" s="40"/>
      <c r="L216" s="40"/>
      <c r="M216" s="40"/>
      <c r="N216" s="40"/>
      <c r="O216" s="1"/>
      <c r="P216" s="40"/>
      <c r="Q216" s="40"/>
      <c r="R216" s="40"/>
      <c r="S216" s="40"/>
    </row>
    <row r="217" spans="1:19" ht="21" customHeight="1">
      <c r="A217" s="40"/>
      <c r="B217" s="40"/>
      <c r="C217" s="40"/>
      <c r="D217" s="40"/>
      <c r="E217" s="1"/>
      <c r="F217" s="40"/>
      <c r="G217" s="40"/>
      <c r="H217" s="40"/>
      <c r="I217" s="40"/>
      <c r="J217" s="1"/>
      <c r="K217" s="40"/>
      <c r="L217" s="40"/>
      <c r="M217" s="40"/>
      <c r="N217" s="40"/>
      <c r="O217" s="1"/>
      <c r="P217" s="40"/>
      <c r="Q217" s="40"/>
      <c r="R217" s="40"/>
      <c r="S217" s="40"/>
    </row>
    <row r="218" spans="1:19" ht="21" customHeight="1">
      <c r="A218" s="40"/>
      <c r="B218" s="40"/>
      <c r="C218" s="40"/>
      <c r="D218" s="40"/>
      <c r="E218" s="1"/>
      <c r="F218" s="40"/>
      <c r="G218" s="40"/>
      <c r="H218" s="40"/>
      <c r="I218" s="40"/>
      <c r="J218" s="1"/>
      <c r="K218" s="40"/>
      <c r="L218" s="40"/>
      <c r="M218" s="40"/>
      <c r="N218" s="40"/>
      <c r="O218" s="1"/>
      <c r="P218" s="40"/>
      <c r="Q218" s="40"/>
      <c r="R218" s="40"/>
      <c r="S218" s="40"/>
    </row>
    <row r="219" spans="1:19" ht="21" customHeight="1">
      <c r="A219" s="40"/>
      <c r="B219" s="40"/>
      <c r="C219" s="40"/>
      <c r="D219" s="40"/>
      <c r="E219" s="1"/>
      <c r="F219" s="40"/>
      <c r="G219" s="40"/>
      <c r="H219" s="40"/>
      <c r="I219" s="40"/>
      <c r="J219" s="1"/>
      <c r="K219" s="40"/>
      <c r="L219" s="40"/>
      <c r="M219" s="40"/>
      <c r="N219" s="40"/>
      <c r="O219" s="1"/>
      <c r="P219" s="40"/>
      <c r="Q219" s="40"/>
      <c r="R219" s="40"/>
      <c r="S219" s="40"/>
    </row>
    <row r="220" spans="1:19" ht="21" customHeight="1">
      <c r="A220" s="41" t="s">
        <v>406</v>
      </c>
      <c r="B220" s="41"/>
      <c r="C220" s="41"/>
      <c r="D220" s="41"/>
      <c r="E220" s="1"/>
      <c r="F220" s="41" t="s">
        <v>428</v>
      </c>
      <c r="G220" s="41"/>
      <c r="H220" s="41"/>
      <c r="I220" s="41"/>
      <c r="J220" s="1"/>
      <c r="K220" s="41" t="s">
        <v>430</v>
      </c>
      <c r="L220" s="41"/>
      <c r="M220" s="41"/>
      <c r="N220" s="41"/>
      <c r="O220" s="1"/>
      <c r="P220" s="41" t="s">
        <v>432</v>
      </c>
      <c r="Q220" s="41"/>
      <c r="R220" s="41"/>
      <c r="S220" s="41"/>
    </row>
    <row r="221" spans="1:19" ht="21" customHeight="1">
      <c r="A221" s="17" t="str">
        <f>HYPERLINK("#'The 100'!B"&amp;(MATCH(69,'The 100'!$A$7:$A$106,0)+6),"View this entry →")</f>
        <v>View this entry →</v>
      </c>
      <c r="B221" s="17"/>
      <c r="C221" s="17"/>
      <c r="D221" s="17"/>
      <c r="E221" s="1"/>
      <c r="F221" s="17" t="str">
        <f>HYPERLINK("#'The 100'!B"&amp;(MATCH(70,'The 100'!$A$7:$A$106,0)+6),"View this entry →")</f>
        <v>View this entry →</v>
      </c>
      <c r="G221" s="17"/>
      <c r="H221" s="17"/>
      <c r="I221" s="17"/>
      <c r="J221" s="1"/>
      <c r="K221" s="17" t="str">
        <f>HYPERLINK("#'The 100'!B"&amp;(MATCH(71,'The 100'!$A$7:$A$106,0)+6),"View this entry →")</f>
        <v>View this entry →</v>
      </c>
      <c r="L221" s="17"/>
      <c r="M221" s="17"/>
      <c r="N221" s="17"/>
      <c r="O221" s="1"/>
      <c r="P221" s="17" t="str">
        <f>HYPERLINK("#'The 100'!B"&amp;(MATCH(72,'The 100'!$A$7:$A$106,0)+6),"View this entry →")</f>
        <v>View this entry →</v>
      </c>
      <c r="Q221" s="17"/>
      <c r="R221" s="17"/>
      <c r="S221" s="17"/>
    </row>
    <row r="222" spans="1:19" ht="21" customHeight="1">
      <c r="A222" s="1"/>
      <c r="B222" s="1"/>
      <c r="C222" s="1"/>
      <c r="D222" s="1"/>
      <c r="E222" s="1"/>
      <c r="F222" s="1"/>
      <c r="G222" s="1"/>
      <c r="H222" s="1"/>
      <c r="I222" s="1"/>
      <c r="J222" s="1"/>
      <c r="K222" s="1"/>
      <c r="L222" s="1"/>
      <c r="M222" s="1"/>
      <c r="N222" s="1"/>
      <c r="O222" s="1"/>
      <c r="P222" s="1"/>
      <c r="Q222" s="1"/>
      <c r="R222" s="1"/>
      <c r="S222" s="1"/>
    </row>
    <row r="223" spans="1:19" ht="21" customHeight="1">
      <c r="A223" s="39" t="s">
        <v>433</v>
      </c>
      <c r="B223" s="39"/>
      <c r="C223" s="39"/>
      <c r="D223" s="39"/>
      <c r="E223" s="1"/>
      <c r="F223" s="39" t="s">
        <v>434</v>
      </c>
      <c r="G223" s="39"/>
      <c r="H223" s="39"/>
      <c r="I223" s="39"/>
      <c r="J223" s="1"/>
      <c r="K223" s="39" t="s">
        <v>435</v>
      </c>
      <c r="L223" s="39"/>
      <c r="M223" s="39"/>
      <c r="N223" s="39"/>
      <c r="O223" s="1"/>
      <c r="P223" s="39" t="s">
        <v>436</v>
      </c>
      <c r="Q223" s="39"/>
      <c r="R223" s="39"/>
      <c r="S223" s="39"/>
    </row>
    <row r="224" spans="1:19" ht="21" customHeight="1">
      <c r="A224" s="39"/>
      <c r="B224" s="39"/>
      <c r="C224" s="39"/>
      <c r="D224" s="39"/>
      <c r="E224" s="1"/>
      <c r="F224" s="39"/>
      <c r="G224" s="39"/>
      <c r="H224" s="39"/>
      <c r="I224" s="39"/>
      <c r="J224" s="1"/>
      <c r="K224" s="39"/>
      <c r="L224" s="39"/>
      <c r="M224" s="39"/>
      <c r="N224" s="39"/>
      <c r="O224" s="1"/>
      <c r="P224" s="39"/>
      <c r="Q224" s="39"/>
      <c r="R224" s="39"/>
      <c r="S224" s="39"/>
    </row>
    <row r="225" spans="1:19" ht="21" customHeight="1">
      <c r="A225" s="39"/>
      <c r="B225" s="39"/>
      <c r="C225" s="39"/>
      <c r="D225" s="39"/>
      <c r="E225" s="1"/>
      <c r="F225" s="39"/>
      <c r="G225" s="39"/>
      <c r="H225" s="39"/>
      <c r="I225" s="39"/>
      <c r="J225" s="1"/>
      <c r="K225" s="39"/>
      <c r="L225" s="39"/>
      <c r="M225" s="39"/>
      <c r="N225" s="39"/>
      <c r="O225" s="1"/>
      <c r="P225" s="39"/>
      <c r="Q225" s="39"/>
      <c r="R225" s="39"/>
      <c r="S225" s="39"/>
    </row>
    <row r="226" spans="1:19" ht="21" customHeight="1">
      <c r="A226" s="40"/>
      <c r="B226" s="40"/>
      <c r="C226" s="40"/>
      <c r="D226" s="40"/>
      <c r="E226" s="1"/>
      <c r="F226" s="40"/>
      <c r="G226" s="40"/>
      <c r="H226" s="40"/>
      <c r="I226" s="40"/>
      <c r="J226" s="1"/>
      <c r="K226" s="40"/>
      <c r="L226" s="40"/>
      <c r="M226" s="40"/>
      <c r="N226" s="40"/>
      <c r="O226" s="1"/>
      <c r="P226" s="40"/>
      <c r="Q226" s="40"/>
      <c r="R226" s="40"/>
      <c r="S226" s="40"/>
    </row>
    <row r="227" spans="1:19" ht="21" customHeight="1">
      <c r="A227" s="40"/>
      <c r="B227" s="40"/>
      <c r="C227" s="40"/>
      <c r="D227" s="40"/>
      <c r="E227" s="1"/>
      <c r="F227" s="40"/>
      <c r="G227" s="40"/>
      <c r="H227" s="40"/>
      <c r="I227" s="40"/>
      <c r="J227" s="1"/>
      <c r="K227" s="40"/>
      <c r="L227" s="40"/>
      <c r="M227" s="40"/>
      <c r="N227" s="40"/>
      <c r="O227" s="1"/>
      <c r="P227" s="40"/>
      <c r="Q227" s="40"/>
      <c r="R227" s="40"/>
      <c r="S227" s="40"/>
    </row>
    <row r="228" spans="1:19" ht="21" customHeight="1">
      <c r="A228" s="40"/>
      <c r="B228" s="40"/>
      <c r="C228" s="40"/>
      <c r="D228" s="40"/>
      <c r="E228" s="1"/>
      <c r="F228" s="40"/>
      <c r="G228" s="40"/>
      <c r="H228" s="40"/>
      <c r="I228" s="40"/>
      <c r="J228" s="1"/>
      <c r="K228" s="40"/>
      <c r="L228" s="40"/>
      <c r="M228" s="40"/>
      <c r="N228" s="40"/>
      <c r="O228" s="1"/>
      <c r="P228" s="40"/>
      <c r="Q228" s="40"/>
      <c r="R228" s="40"/>
      <c r="S228" s="40"/>
    </row>
    <row r="229" spans="1:19" ht="21" customHeight="1">
      <c r="A229" s="40"/>
      <c r="B229" s="40"/>
      <c r="C229" s="40"/>
      <c r="D229" s="40"/>
      <c r="E229" s="1"/>
      <c r="F229" s="40"/>
      <c r="G229" s="40"/>
      <c r="H229" s="40"/>
      <c r="I229" s="40"/>
      <c r="J229" s="1"/>
      <c r="K229" s="40"/>
      <c r="L229" s="40"/>
      <c r="M229" s="40"/>
      <c r="N229" s="40"/>
      <c r="O229" s="1"/>
      <c r="P229" s="40"/>
      <c r="Q229" s="40"/>
      <c r="R229" s="40"/>
      <c r="S229" s="40"/>
    </row>
    <row r="230" spans="1:19" ht="21" customHeight="1">
      <c r="A230" s="40"/>
      <c r="B230" s="40"/>
      <c r="C230" s="40"/>
      <c r="D230" s="40"/>
      <c r="E230" s="1"/>
      <c r="F230" s="40"/>
      <c r="G230" s="40"/>
      <c r="H230" s="40"/>
      <c r="I230" s="40"/>
      <c r="J230" s="1"/>
      <c r="K230" s="40"/>
      <c r="L230" s="40"/>
      <c r="M230" s="40"/>
      <c r="N230" s="40"/>
      <c r="O230" s="1"/>
      <c r="P230" s="40"/>
      <c r="Q230" s="40"/>
      <c r="R230" s="40"/>
      <c r="S230" s="40"/>
    </row>
    <row r="231" spans="1:19" ht="21" customHeight="1">
      <c r="A231" s="40"/>
      <c r="B231" s="40"/>
      <c r="C231" s="40"/>
      <c r="D231" s="40"/>
      <c r="E231" s="1"/>
      <c r="F231" s="40"/>
      <c r="G231" s="40"/>
      <c r="H231" s="40"/>
      <c r="I231" s="40"/>
      <c r="J231" s="1"/>
      <c r="K231" s="40"/>
      <c r="L231" s="40"/>
      <c r="M231" s="40"/>
      <c r="N231" s="40"/>
      <c r="O231" s="1"/>
      <c r="P231" s="40"/>
      <c r="Q231" s="40"/>
      <c r="R231" s="40"/>
      <c r="S231" s="40"/>
    </row>
    <row r="232" spans="1:19" ht="21" customHeight="1">
      <c r="A232" s="41" t="s">
        <v>406</v>
      </c>
      <c r="B232" s="41"/>
      <c r="C232" s="41"/>
      <c r="D232" s="41"/>
      <c r="E232" s="1"/>
      <c r="F232" s="41" t="s">
        <v>406</v>
      </c>
      <c r="G232" s="41"/>
      <c r="H232" s="41"/>
      <c r="I232" s="41"/>
      <c r="J232" s="1"/>
      <c r="K232" s="41" t="s">
        <v>410</v>
      </c>
      <c r="L232" s="41"/>
      <c r="M232" s="41"/>
      <c r="N232" s="41"/>
      <c r="O232" s="1"/>
      <c r="P232" s="41" t="s">
        <v>410</v>
      </c>
      <c r="Q232" s="41"/>
      <c r="R232" s="41"/>
      <c r="S232" s="41"/>
    </row>
    <row r="233" spans="1:19" ht="21" customHeight="1">
      <c r="A233" s="17" t="str">
        <f>HYPERLINK("#'The 100'!B"&amp;(MATCH(73,'The 100'!$A$7:$A$106,0)+6),"View this entry →")</f>
        <v>View this entry →</v>
      </c>
      <c r="B233" s="17"/>
      <c r="C233" s="17"/>
      <c r="D233" s="17"/>
      <c r="E233" s="1"/>
      <c r="F233" s="17" t="str">
        <f>HYPERLINK("#'The 100'!B"&amp;(MATCH(74,'The 100'!$A$7:$A$106,0)+6),"View this entry →")</f>
        <v>View this entry →</v>
      </c>
      <c r="G233" s="17"/>
      <c r="H233" s="17"/>
      <c r="I233" s="17"/>
      <c r="J233" s="1"/>
      <c r="K233" s="17" t="str">
        <f>HYPERLINK("#'The 100'!B"&amp;(MATCH(75,'The 100'!$A$7:$A$106,0)+6),"View this entry →")</f>
        <v>View this entry →</v>
      </c>
      <c r="L233" s="17"/>
      <c r="M233" s="17"/>
      <c r="N233" s="17"/>
      <c r="O233" s="1"/>
      <c r="P233" s="17" t="str">
        <f>HYPERLINK("#'The 100'!B"&amp;(MATCH(76,'The 100'!$A$7:$A$106,0)+6),"View this entry →")</f>
        <v>View this entry →</v>
      </c>
      <c r="Q233" s="17"/>
      <c r="R233" s="17"/>
      <c r="S233" s="17"/>
    </row>
    <row r="234" spans="1:19" ht="21" customHeight="1">
      <c r="A234" s="1"/>
      <c r="B234" s="1"/>
      <c r="C234" s="1"/>
      <c r="D234" s="1"/>
      <c r="E234" s="1"/>
      <c r="F234" s="1"/>
      <c r="G234" s="1"/>
      <c r="H234" s="1"/>
      <c r="I234" s="1"/>
      <c r="J234" s="1"/>
      <c r="K234" s="1"/>
      <c r="L234" s="1"/>
      <c r="M234" s="1"/>
      <c r="N234" s="1"/>
      <c r="O234" s="1"/>
      <c r="P234" s="1"/>
      <c r="Q234" s="1"/>
      <c r="R234" s="1"/>
      <c r="S234" s="1"/>
    </row>
    <row r="235" spans="1:19" ht="21" customHeight="1">
      <c r="A235" s="39" t="s">
        <v>437</v>
      </c>
      <c r="B235" s="39"/>
      <c r="C235" s="39"/>
      <c r="D235" s="39"/>
      <c r="E235" s="1"/>
      <c r="F235" s="39" t="s">
        <v>438</v>
      </c>
      <c r="G235" s="39"/>
      <c r="H235" s="39"/>
      <c r="I235" s="39"/>
      <c r="J235" s="1"/>
      <c r="K235" s="39" t="s">
        <v>439</v>
      </c>
      <c r="L235" s="39"/>
      <c r="M235" s="39"/>
      <c r="N235" s="39"/>
      <c r="O235" s="1"/>
      <c r="P235" s="39" t="s">
        <v>441</v>
      </c>
      <c r="Q235" s="39"/>
      <c r="R235" s="39"/>
      <c r="S235" s="39"/>
    </row>
    <row r="236" spans="1:19" ht="21" customHeight="1">
      <c r="A236" s="39"/>
      <c r="B236" s="39"/>
      <c r="C236" s="39"/>
      <c r="D236" s="39"/>
      <c r="E236" s="1"/>
      <c r="F236" s="39"/>
      <c r="G236" s="39"/>
      <c r="H236" s="39"/>
      <c r="I236" s="39"/>
      <c r="J236" s="1"/>
      <c r="K236" s="39"/>
      <c r="L236" s="39"/>
      <c r="M236" s="39"/>
      <c r="N236" s="39"/>
      <c r="O236" s="1"/>
      <c r="P236" s="39"/>
      <c r="Q236" s="39"/>
      <c r="R236" s="39"/>
      <c r="S236" s="39"/>
    </row>
    <row r="237" spans="1:19" ht="21" customHeight="1">
      <c r="A237" s="39"/>
      <c r="B237" s="39"/>
      <c r="C237" s="39"/>
      <c r="D237" s="39"/>
      <c r="E237" s="1"/>
      <c r="F237" s="39"/>
      <c r="G237" s="39"/>
      <c r="H237" s="39"/>
      <c r="I237" s="39"/>
      <c r="J237" s="1"/>
      <c r="K237" s="39"/>
      <c r="L237" s="39"/>
      <c r="M237" s="39"/>
      <c r="N237" s="39"/>
      <c r="O237" s="1"/>
      <c r="P237" s="39"/>
      <c r="Q237" s="39"/>
      <c r="R237" s="39"/>
      <c r="S237" s="39"/>
    </row>
    <row r="238" spans="1:19" ht="21" customHeight="1">
      <c r="A238" s="40"/>
      <c r="B238" s="40"/>
      <c r="C238" s="40"/>
      <c r="D238" s="40"/>
      <c r="E238" s="1"/>
      <c r="F238" s="40"/>
      <c r="G238" s="40"/>
      <c r="H238" s="40"/>
      <c r="I238" s="40"/>
      <c r="J238" s="1"/>
      <c r="K238" s="40"/>
      <c r="L238" s="40"/>
      <c r="M238" s="40"/>
      <c r="N238" s="40"/>
      <c r="O238" s="1"/>
      <c r="P238" s="40"/>
      <c r="Q238" s="40"/>
      <c r="R238" s="40"/>
      <c r="S238" s="40"/>
    </row>
    <row r="239" spans="1:19" ht="21" customHeight="1">
      <c r="A239" s="40"/>
      <c r="B239" s="40"/>
      <c r="C239" s="40"/>
      <c r="D239" s="40"/>
      <c r="E239" s="1"/>
      <c r="F239" s="40"/>
      <c r="G239" s="40"/>
      <c r="H239" s="40"/>
      <c r="I239" s="40"/>
      <c r="J239" s="1"/>
      <c r="K239" s="40"/>
      <c r="L239" s="40"/>
      <c r="M239" s="40"/>
      <c r="N239" s="40"/>
      <c r="O239" s="1"/>
      <c r="P239" s="40"/>
      <c r="Q239" s="40"/>
      <c r="R239" s="40"/>
      <c r="S239" s="40"/>
    </row>
    <row r="240" spans="1:19" ht="21" customHeight="1">
      <c r="A240" s="40"/>
      <c r="B240" s="40"/>
      <c r="C240" s="40"/>
      <c r="D240" s="40"/>
      <c r="E240" s="1"/>
      <c r="F240" s="40"/>
      <c r="G240" s="40"/>
      <c r="H240" s="40"/>
      <c r="I240" s="40"/>
      <c r="J240" s="1"/>
      <c r="K240" s="40"/>
      <c r="L240" s="40"/>
      <c r="M240" s="40"/>
      <c r="N240" s="40"/>
      <c r="O240" s="1"/>
      <c r="P240" s="40"/>
      <c r="Q240" s="40"/>
      <c r="R240" s="40"/>
      <c r="S240" s="40"/>
    </row>
    <row r="241" spans="1:19" ht="21" customHeight="1">
      <c r="A241" s="40"/>
      <c r="B241" s="40"/>
      <c r="C241" s="40"/>
      <c r="D241" s="40"/>
      <c r="E241" s="1"/>
      <c r="F241" s="40"/>
      <c r="G241" s="40"/>
      <c r="H241" s="40"/>
      <c r="I241" s="40"/>
      <c r="J241" s="1"/>
      <c r="K241" s="40"/>
      <c r="L241" s="40"/>
      <c r="M241" s="40"/>
      <c r="N241" s="40"/>
      <c r="O241" s="1"/>
      <c r="P241" s="40"/>
      <c r="Q241" s="40"/>
      <c r="R241" s="40"/>
      <c r="S241" s="40"/>
    </row>
    <row r="242" spans="1:19" ht="21" customHeight="1">
      <c r="A242" s="40"/>
      <c r="B242" s="40"/>
      <c r="C242" s="40"/>
      <c r="D242" s="40"/>
      <c r="E242" s="1"/>
      <c r="F242" s="40"/>
      <c r="G242" s="40"/>
      <c r="H242" s="40"/>
      <c r="I242" s="40"/>
      <c r="J242" s="1"/>
      <c r="K242" s="40"/>
      <c r="L242" s="40"/>
      <c r="M242" s="40"/>
      <c r="N242" s="40"/>
      <c r="O242" s="1"/>
      <c r="P242" s="40"/>
      <c r="Q242" s="40"/>
      <c r="R242" s="40"/>
      <c r="S242" s="40"/>
    </row>
    <row r="243" spans="1:19" ht="21" customHeight="1">
      <c r="A243" s="40"/>
      <c r="B243" s="40"/>
      <c r="C243" s="40"/>
      <c r="D243" s="40"/>
      <c r="E243" s="1"/>
      <c r="F243" s="40"/>
      <c r="G243" s="40"/>
      <c r="H243" s="40"/>
      <c r="I243" s="40"/>
      <c r="J243" s="1"/>
      <c r="K243" s="40"/>
      <c r="L243" s="40"/>
      <c r="M243" s="40"/>
      <c r="N243" s="40"/>
      <c r="O243" s="1"/>
      <c r="P243" s="40"/>
      <c r="Q243" s="40"/>
      <c r="R243" s="40"/>
      <c r="S243" s="40"/>
    </row>
    <row r="244" spans="1:19" ht="21" customHeight="1">
      <c r="A244" s="41" t="s">
        <v>410</v>
      </c>
      <c r="B244" s="41"/>
      <c r="C244" s="41"/>
      <c r="D244" s="41"/>
      <c r="E244" s="1"/>
      <c r="F244" s="41" t="s">
        <v>396</v>
      </c>
      <c r="G244" s="41"/>
      <c r="H244" s="41"/>
      <c r="I244" s="41"/>
      <c r="J244" s="1"/>
      <c r="K244" s="41" t="s">
        <v>440</v>
      </c>
      <c r="L244" s="41"/>
      <c r="M244" s="41"/>
      <c r="N244" s="41"/>
      <c r="O244" s="1"/>
      <c r="P244" s="41" t="s">
        <v>422</v>
      </c>
      <c r="Q244" s="41"/>
      <c r="R244" s="41"/>
      <c r="S244" s="41"/>
    </row>
    <row r="245" spans="1:19" ht="21" customHeight="1">
      <c r="A245" s="17" t="str">
        <f>HYPERLINK("#'The 100'!B"&amp;(MATCH(77,'The 100'!$A$7:$A$106,0)+6),"View this entry →")</f>
        <v>View this entry →</v>
      </c>
      <c r="B245" s="17"/>
      <c r="C245" s="17"/>
      <c r="D245" s="17"/>
      <c r="E245" s="1"/>
      <c r="F245" s="17" t="str">
        <f>HYPERLINK("#'The 100'!B"&amp;(MATCH(78,'The 100'!$A$7:$A$106,0)+6),"View this entry →")</f>
        <v>View this entry →</v>
      </c>
      <c r="G245" s="17"/>
      <c r="H245" s="17"/>
      <c r="I245" s="17"/>
      <c r="J245" s="1"/>
      <c r="K245" s="17" t="str">
        <f>HYPERLINK("#'The 100'!B"&amp;(MATCH(79,'The 100'!$A$7:$A$106,0)+6),"View this entry →")</f>
        <v>View this entry →</v>
      </c>
      <c r="L245" s="17"/>
      <c r="M245" s="17"/>
      <c r="N245" s="17"/>
      <c r="O245" s="1"/>
      <c r="P245" s="17" t="str">
        <f>HYPERLINK("#'The 100'!B"&amp;(MATCH(80,'The 100'!$A$7:$A$106,0)+6),"View this entry →")</f>
        <v>View this entry →</v>
      </c>
      <c r="Q245" s="17"/>
      <c r="R245" s="17"/>
      <c r="S245" s="17"/>
    </row>
    <row r="246" spans="1:19" ht="21" customHeight="1">
      <c r="A246" s="1"/>
      <c r="B246" s="1"/>
      <c r="C246" s="1"/>
      <c r="D246" s="1"/>
      <c r="E246" s="1"/>
      <c r="F246" s="1"/>
      <c r="G246" s="1"/>
      <c r="H246" s="1"/>
      <c r="I246" s="1"/>
      <c r="J246" s="1"/>
      <c r="K246" s="1"/>
      <c r="L246" s="1"/>
      <c r="M246" s="1"/>
      <c r="N246" s="1"/>
      <c r="O246" s="1"/>
      <c r="P246" s="1"/>
      <c r="Q246" s="1"/>
      <c r="R246" s="1"/>
      <c r="S246" s="1"/>
    </row>
    <row r="247" spans="1:19" ht="21" customHeight="1">
      <c r="A247" s="39" t="s">
        <v>442</v>
      </c>
      <c r="B247" s="39"/>
      <c r="C247" s="39"/>
      <c r="D247" s="39"/>
      <c r="E247" s="1"/>
      <c r="F247" s="39" t="s">
        <v>444</v>
      </c>
      <c r="G247" s="39"/>
      <c r="H247" s="39"/>
      <c r="I247" s="39"/>
      <c r="J247" s="1"/>
      <c r="K247" s="39" t="s">
        <v>445</v>
      </c>
      <c r="L247" s="39"/>
      <c r="M247" s="39"/>
      <c r="N247" s="39"/>
      <c r="O247" s="1"/>
      <c r="P247" s="39" t="s">
        <v>446</v>
      </c>
      <c r="Q247" s="39"/>
      <c r="R247" s="39"/>
      <c r="S247" s="39"/>
    </row>
    <row r="248" spans="1:19" ht="21" customHeight="1">
      <c r="A248" s="39"/>
      <c r="B248" s="39"/>
      <c r="C248" s="39"/>
      <c r="D248" s="39"/>
      <c r="E248" s="1"/>
      <c r="F248" s="39"/>
      <c r="G248" s="39"/>
      <c r="H248" s="39"/>
      <c r="I248" s="39"/>
      <c r="J248" s="1"/>
      <c r="K248" s="39"/>
      <c r="L248" s="39"/>
      <c r="M248" s="39"/>
      <c r="N248" s="39"/>
      <c r="O248" s="1"/>
      <c r="P248" s="39"/>
      <c r="Q248" s="39"/>
      <c r="R248" s="39"/>
      <c r="S248" s="39"/>
    </row>
    <row r="249" spans="1:19" ht="21" customHeight="1">
      <c r="A249" s="39"/>
      <c r="B249" s="39"/>
      <c r="C249" s="39"/>
      <c r="D249" s="39"/>
      <c r="E249" s="1"/>
      <c r="F249" s="39"/>
      <c r="G249" s="39"/>
      <c r="H249" s="39"/>
      <c r="I249" s="39"/>
      <c r="J249" s="1"/>
      <c r="K249" s="39"/>
      <c r="L249" s="39"/>
      <c r="M249" s="39"/>
      <c r="N249" s="39"/>
      <c r="O249" s="1"/>
      <c r="P249" s="39"/>
      <c r="Q249" s="39"/>
      <c r="R249" s="39"/>
      <c r="S249" s="39"/>
    </row>
    <row r="250" spans="1:19" ht="21" customHeight="1">
      <c r="A250" s="40"/>
      <c r="B250" s="40"/>
      <c r="C250" s="40"/>
      <c r="D250" s="40"/>
      <c r="E250" s="1"/>
      <c r="F250" s="40"/>
      <c r="G250" s="40"/>
      <c r="H250" s="40"/>
      <c r="I250" s="40"/>
      <c r="J250" s="1"/>
      <c r="K250" s="40"/>
      <c r="L250" s="40"/>
      <c r="M250" s="40"/>
      <c r="N250" s="40"/>
      <c r="O250" s="1"/>
      <c r="P250" s="40"/>
      <c r="Q250" s="40"/>
      <c r="R250" s="40"/>
      <c r="S250" s="40"/>
    </row>
    <row r="251" spans="1:19" ht="21" customHeight="1">
      <c r="A251" s="40"/>
      <c r="B251" s="40"/>
      <c r="C251" s="40"/>
      <c r="D251" s="40"/>
      <c r="E251" s="1"/>
      <c r="F251" s="40"/>
      <c r="G251" s="40"/>
      <c r="H251" s="40"/>
      <c r="I251" s="40"/>
      <c r="J251" s="1"/>
      <c r="K251" s="40"/>
      <c r="L251" s="40"/>
      <c r="M251" s="40"/>
      <c r="N251" s="40"/>
      <c r="O251" s="1"/>
      <c r="P251" s="40"/>
      <c r="Q251" s="40"/>
      <c r="R251" s="40"/>
      <c r="S251" s="40"/>
    </row>
    <row r="252" spans="1:19" ht="21" customHeight="1">
      <c r="A252" s="40"/>
      <c r="B252" s="40"/>
      <c r="C252" s="40"/>
      <c r="D252" s="40"/>
      <c r="E252" s="1"/>
      <c r="F252" s="40"/>
      <c r="G252" s="40"/>
      <c r="H252" s="40"/>
      <c r="I252" s="40"/>
      <c r="J252" s="1"/>
      <c r="K252" s="40"/>
      <c r="L252" s="40"/>
      <c r="M252" s="40"/>
      <c r="N252" s="40"/>
      <c r="O252" s="1"/>
      <c r="P252" s="40"/>
      <c r="Q252" s="40"/>
      <c r="R252" s="40"/>
      <c r="S252" s="40"/>
    </row>
    <row r="253" spans="1:19" ht="21" customHeight="1">
      <c r="A253" s="40"/>
      <c r="B253" s="40"/>
      <c r="C253" s="40"/>
      <c r="D253" s="40"/>
      <c r="E253" s="1"/>
      <c r="F253" s="40"/>
      <c r="G253" s="40"/>
      <c r="H253" s="40"/>
      <c r="I253" s="40"/>
      <c r="J253" s="1"/>
      <c r="K253" s="40"/>
      <c r="L253" s="40"/>
      <c r="M253" s="40"/>
      <c r="N253" s="40"/>
      <c r="O253" s="1"/>
      <c r="P253" s="40"/>
      <c r="Q253" s="40"/>
      <c r="R253" s="40"/>
      <c r="S253" s="40"/>
    </row>
    <row r="254" spans="1:19" ht="21" customHeight="1">
      <c r="A254" s="40"/>
      <c r="B254" s="40"/>
      <c r="C254" s="40"/>
      <c r="D254" s="40"/>
      <c r="E254" s="1"/>
      <c r="F254" s="40"/>
      <c r="G254" s="40"/>
      <c r="H254" s="40"/>
      <c r="I254" s="40"/>
      <c r="J254" s="1"/>
      <c r="K254" s="40"/>
      <c r="L254" s="40"/>
      <c r="M254" s="40"/>
      <c r="N254" s="40"/>
      <c r="O254" s="1"/>
      <c r="P254" s="40"/>
      <c r="Q254" s="40"/>
      <c r="R254" s="40"/>
      <c r="S254" s="40"/>
    </row>
    <row r="255" spans="1:19" ht="21" customHeight="1">
      <c r="A255" s="40"/>
      <c r="B255" s="40"/>
      <c r="C255" s="40"/>
      <c r="D255" s="40"/>
      <c r="E255" s="1"/>
      <c r="F255" s="40"/>
      <c r="G255" s="40"/>
      <c r="H255" s="40"/>
      <c r="I255" s="40"/>
      <c r="J255" s="1"/>
      <c r="K255" s="40"/>
      <c r="L255" s="40"/>
      <c r="M255" s="40"/>
      <c r="N255" s="40"/>
      <c r="O255" s="1"/>
      <c r="P255" s="40"/>
      <c r="Q255" s="40"/>
      <c r="R255" s="40"/>
      <c r="S255" s="40"/>
    </row>
    <row r="256" spans="1:19" ht="21" customHeight="1">
      <c r="A256" s="41" t="s">
        <v>443</v>
      </c>
      <c r="B256" s="41"/>
      <c r="C256" s="41"/>
      <c r="D256" s="41"/>
      <c r="E256" s="1"/>
      <c r="F256" s="41" t="s">
        <v>410</v>
      </c>
      <c r="G256" s="41"/>
      <c r="H256" s="41"/>
      <c r="I256" s="41"/>
      <c r="J256" s="1"/>
      <c r="K256" s="41" t="s">
        <v>398</v>
      </c>
      <c r="L256" s="41"/>
      <c r="M256" s="41"/>
      <c r="N256" s="41"/>
      <c r="O256" s="1"/>
      <c r="P256" s="41" t="s">
        <v>398</v>
      </c>
      <c r="Q256" s="41"/>
      <c r="R256" s="41"/>
      <c r="S256" s="41"/>
    </row>
    <row r="257" spans="1:19" ht="21" customHeight="1">
      <c r="A257" s="17" t="str">
        <f>HYPERLINK("#'The 100'!B"&amp;(MATCH(81,'The 100'!$A$7:$A$106,0)+6),"View this entry →")</f>
        <v>View this entry →</v>
      </c>
      <c r="B257" s="17"/>
      <c r="C257" s="17"/>
      <c r="D257" s="17"/>
      <c r="E257" s="1"/>
      <c r="F257" s="17" t="str">
        <f>HYPERLINK("#'The 100'!B"&amp;(MATCH(82,'The 100'!$A$7:$A$106,0)+6),"View this entry →")</f>
        <v>View this entry →</v>
      </c>
      <c r="G257" s="17"/>
      <c r="H257" s="17"/>
      <c r="I257" s="17"/>
      <c r="J257" s="1"/>
      <c r="K257" s="17" t="str">
        <f>HYPERLINK("#'The 100'!B"&amp;(MATCH(83,'The 100'!$A$7:$A$106,0)+6),"View this entry →")</f>
        <v>View this entry →</v>
      </c>
      <c r="L257" s="17"/>
      <c r="M257" s="17"/>
      <c r="N257" s="17"/>
      <c r="O257" s="1"/>
      <c r="P257" s="17" t="str">
        <f>HYPERLINK("#'The 100'!B"&amp;(MATCH(84,'The 100'!$A$7:$A$106,0)+6),"View this entry →")</f>
        <v>View this entry →</v>
      </c>
      <c r="Q257" s="17"/>
      <c r="R257" s="17"/>
      <c r="S257" s="17"/>
    </row>
    <row r="258" spans="1:19" ht="21" customHeight="1">
      <c r="A258" s="1"/>
      <c r="B258" s="1"/>
      <c r="C258" s="1"/>
      <c r="D258" s="1"/>
      <c r="E258" s="1"/>
      <c r="F258" s="1"/>
      <c r="G258" s="1"/>
      <c r="H258" s="1"/>
      <c r="I258" s="1"/>
      <c r="J258" s="1"/>
      <c r="K258" s="1"/>
      <c r="L258" s="1"/>
      <c r="M258" s="1"/>
      <c r="N258" s="1"/>
      <c r="O258" s="1"/>
      <c r="P258" s="1"/>
      <c r="Q258" s="1"/>
      <c r="R258" s="1"/>
      <c r="S258" s="1"/>
    </row>
    <row r="259" spans="1:19" ht="21" customHeight="1">
      <c r="A259" s="39" t="s">
        <v>447</v>
      </c>
      <c r="B259" s="39"/>
      <c r="C259" s="39"/>
      <c r="D259" s="39"/>
      <c r="E259" s="1"/>
      <c r="F259" s="39" t="s">
        <v>448</v>
      </c>
      <c r="G259" s="39"/>
      <c r="H259" s="39"/>
      <c r="I259" s="39"/>
      <c r="J259" s="1"/>
      <c r="K259" s="39" t="s">
        <v>449</v>
      </c>
      <c r="L259" s="39"/>
      <c r="M259" s="39"/>
      <c r="N259" s="39"/>
      <c r="O259" s="1"/>
      <c r="P259" s="39" t="s">
        <v>450</v>
      </c>
      <c r="Q259" s="39"/>
      <c r="R259" s="39"/>
      <c r="S259" s="39"/>
    </row>
    <row r="260" spans="1:19" ht="21" customHeight="1">
      <c r="A260" s="39"/>
      <c r="B260" s="39"/>
      <c r="C260" s="39"/>
      <c r="D260" s="39"/>
      <c r="E260" s="1"/>
      <c r="F260" s="39"/>
      <c r="G260" s="39"/>
      <c r="H260" s="39"/>
      <c r="I260" s="39"/>
      <c r="J260" s="1"/>
      <c r="K260" s="39"/>
      <c r="L260" s="39"/>
      <c r="M260" s="39"/>
      <c r="N260" s="39"/>
      <c r="O260" s="1"/>
      <c r="P260" s="39"/>
      <c r="Q260" s="39"/>
      <c r="R260" s="39"/>
      <c r="S260" s="39"/>
    </row>
    <row r="261" spans="1:19" ht="21" customHeight="1">
      <c r="A261" s="39"/>
      <c r="B261" s="39"/>
      <c r="C261" s="39"/>
      <c r="D261" s="39"/>
      <c r="E261" s="1"/>
      <c r="F261" s="39"/>
      <c r="G261" s="39"/>
      <c r="H261" s="39"/>
      <c r="I261" s="39"/>
      <c r="J261" s="1"/>
      <c r="K261" s="39"/>
      <c r="L261" s="39"/>
      <c r="M261" s="39"/>
      <c r="N261" s="39"/>
      <c r="O261" s="1"/>
      <c r="P261" s="39"/>
      <c r="Q261" s="39"/>
      <c r="R261" s="39"/>
      <c r="S261" s="39"/>
    </row>
    <row r="262" spans="1:19" ht="21" customHeight="1">
      <c r="A262" s="40"/>
      <c r="B262" s="40"/>
      <c r="C262" s="40"/>
      <c r="D262" s="40"/>
      <c r="E262" s="1"/>
      <c r="F262" s="40"/>
      <c r="G262" s="40"/>
      <c r="H262" s="40"/>
      <c r="I262" s="40"/>
      <c r="J262" s="1"/>
      <c r="K262" s="40"/>
      <c r="L262" s="40"/>
      <c r="M262" s="40"/>
      <c r="N262" s="40"/>
      <c r="O262" s="1"/>
      <c r="P262" s="40"/>
      <c r="Q262" s="40"/>
      <c r="R262" s="40"/>
      <c r="S262" s="40"/>
    </row>
    <row r="263" spans="1:19" ht="21" customHeight="1">
      <c r="A263" s="40"/>
      <c r="B263" s="40"/>
      <c r="C263" s="40"/>
      <c r="D263" s="40"/>
      <c r="E263" s="1"/>
      <c r="F263" s="40"/>
      <c r="G263" s="40"/>
      <c r="H263" s="40"/>
      <c r="I263" s="40"/>
      <c r="J263" s="1"/>
      <c r="K263" s="40"/>
      <c r="L263" s="40"/>
      <c r="M263" s="40"/>
      <c r="N263" s="40"/>
      <c r="O263" s="1"/>
      <c r="P263" s="40"/>
      <c r="Q263" s="40"/>
      <c r="R263" s="40"/>
      <c r="S263" s="40"/>
    </row>
    <row r="264" spans="1:19" ht="21" customHeight="1">
      <c r="A264" s="40"/>
      <c r="B264" s="40"/>
      <c r="C264" s="40"/>
      <c r="D264" s="40"/>
      <c r="E264" s="1"/>
      <c r="F264" s="40"/>
      <c r="G264" s="40"/>
      <c r="H264" s="40"/>
      <c r="I264" s="40"/>
      <c r="J264" s="1"/>
      <c r="K264" s="40"/>
      <c r="L264" s="40"/>
      <c r="M264" s="40"/>
      <c r="N264" s="40"/>
      <c r="O264" s="1"/>
      <c r="P264" s="40"/>
      <c r="Q264" s="40"/>
      <c r="R264" s="40"/>
      <c r="S264" s="40"/>
    </row>
    <row r="265" spans="1:19" ht="21" customHeight="1">
      <c r="A265" s="40"/>
      <c r="B265" s="40"/>
      <c r="C265" s="40"/>
      <c r="D265" s="40"/>
      <c r="E265" s="1"/>
      <c r="F265" s="40"/>
      <c r="G265" s="40"/>
      <c r="H265" s="40"/>
      <c r="I265" s="40"/>
      <c r="J265" s="1"/>
      <c r="K265" s="40"/>
      <c r="L265" s="40"/>
      <c r="M265" s="40"/>
      <c r="N265" s="40"/>
      <c r="O265" s="1"/>
      <c r="P265" s="40"/>
      <c r="Q265" s="40"/>
      <c r="R265" s="40"/>
      <c r="S265" s="40"/>
    </row>
    <row r="266" spans="1:19" ht="21" customHeight="1">
      <c r="A266" s="40"/>
      <c r="B266" s="40"/>
      <c r="C266" s="40"/>
      <c r="D266" s="40"/>
      <c r="E266" s="1"/>
      <c r="F266" s="40"/>
      <c r="G266" s="40"/>
      <c r="H266" s="40"/>
      <c r="I266" s="40"/>
      <c r="J266" s="1"/>
      <c r="K266" s="40"/>
      <c r="L266" s="40"/>
      <c r="M266" s="40"/>
      <c r="N266" s="40"/>
      <c r="O266" s="1"/>
      <c r="P266" s="40"/>
      <c r="Q266" s="40"/>
      <c r="R266" s="40"/>
      <c r="S266" s="40"/>
    </row>
    <row r="267" spans="1:19" ht="21" customHeight="1">
      <c r="A267" s="40"/>
      <c r="B267" s="40"/>
      <c r="C267" s="40"/>
      <c r="D267" s="40"/>
      <c r="E267" s="1"/>
      <c r="F267" s="40"/>
      <c r="G267" s="40"/>
      <c r="H267" s="40"/>
      <c r="I267" s="40"/>
      <c r="J267" s="1"/>
      <c r="K267" s="40"/>
      <c r="L267" s="40"/>
      <c r="M267" s="40"/>
      <c r="N267" s="40"/>
      <c r="O267" s="1"/>
      <c r="P267" s="40"/>
      <c r="Q267" s="40"/>
      <c r="R267" s="40"/>
      <c r="S267" s="40"/>
    </row>
    <row r="268" spans="1:19" ht="21" customHeight="1">
      <c r="A268" s="41" t="s">
        <v>440</v>
      </c>
      <c r="B268" s="41"/>
      <c r="C268" s="41"/>
      <c r="D268" s="41"/>
      <c r="E268" s="1"/>
      <c r="F268" s="41" t="s">
        <v>440</v>
      </c>
      <c r="G268" s="41"/>
      <c r="H268" s="41"/>
      <c r="I268" s="41"/>
      <c r="J268" s="1"/>
      <c r="K268" s="41" t="s">
        <v>440</v>
      </c>
      <c r="L268" s="41"/>
      <c r="M268" s="41"/>
      <c r="N268" s="41"/>
      <c r="O268" s="1"/>
      <c r="P268" s="41" t="s">
        <v>400</v>
      </c>
      <c r="Q268" s="41"/>
      <c r="R268" s="41"/>
      <c r="S268" s="41"/>
    </row>
    <row r="269" spans="1:19" ht="21" customHeight="1">
      <c r="A269" s="17" t="str">
        <f>HYPERLINK("#'The 100'!B"&amp;(MATCH(85,'The 100'!$A$7:$A$106,0)+6),"View this entry →")</f>
        <v>View this entry →</v>
      </c>
      <c r="B269" s="17"/>
      <c r="C269" s="17"/>
      <c r="D269" s="17"/>
      <c r="E269" s="1"/>
      <c r="F269" s="17" t="str">
        <f>HYPERLINK("#'The 100'!B"&amp;(MATCH(86,'The 100'!$A$7:$A$106,0)+6),"View this entry →")</f>
        <v>View this entry →</v>
      </c>
      <c r="G269" s="17"/>
      <c r="H269" s="17"/>
      <c r="I269" s="17"/>
      <c r="J269" s="1"/>
      <c r="K269" s="17" t="str">
        <f>HYPERLINK("#'The 100'!B"&amp;(MATCH(87,'The 100'!$A$7:$A$106,0)+6),"View this entry →")</f>
        <v>View this entry →</v>
      </c>
      <c r="L269" s="17"/>
      <c r="M269" s="17"/>
      <c r="N269" s="17"/>
      <c r="O269" s="1"/>
      <c r="P269" s="17" t="str">
        <f>HYPERLINK("#'The 100'!B"&amp;(MATCH(88,'The 100'!$A$7:$A$106,0)+6),"View this entry →")</f>
        <v>View this entry →</v>
      </c>
      <c r="Q269" s="17"/>
      <c r="R269" s="17"/>
      <c r="S269" s="17"/>
    </row>
    <row r="270" spans="1:19" ht="21" customHeight="1">
      <c r="A270" s="1"/>
      <c r="B270" s="1"/>
      <c r="C270" s="1"/>
      <c r="D270" s="1"/>
      <c r="E270" s="1"/>
      <c r="F270" s="1"/>
      <c r="G270" s="1"/>
      <c r="H270" s="1"/>
      <c r="I270" s="1"/>
      <c r="J270" s="1"/>
      <c r="K270" s="1"/>
      <c r="L270" s="1"/>
      <c r="M270" s="1"/>
      <c r="N270" s="1"/>
      <c r="O270" s="1"/>
      <c r="P270" s="1"/>
      <c r="Q270" s="1"/>
      <c r="R270" s="1"/>
      <c r="S270" s="1"/>
    </row>
    <row r="271" spans="1:19" ht="21" customHeight="1">
      <c r="A271" s="39" t="s">
        <v>451</v>
      </c>
      <c r="B271" s="39"/>
      <c r="C271" s="39"/>
      <c r="D271" s="39"/>
      <c r="E271" s="1"/>
      <c r="F271" s="39" t="s">
        <v>452</v>
      </c>
      <c r="G271" s="39"/>
      <c r="H271" s="39"/>
      <c r="I271" s="39"/>
      <c r="J271" s="1"/>
      <c r="K271" s="39" t="s">
        <v>453</v>
      </c>
      <c r="L271" s="39"/>
      <c r="M271" s="39"/>
      <c r="N271" s="39"/>
      <c r="O271" s="1"/>
      <c r="P271" s="39" t="s">
        <v>454</v>
      </c>
      <c r="Q271" s="39"/>
      <c r="R271" s="39"/>
      <c r="S271" s="39"/>
    </row>
    <row r="272" spans="1:19" ht="21" customHeight="1">
      <c r="A272" s="39"/>
      <c r="B272" s="39"/>
      <c r="C272" s="39"/>
      <c r="D272" s="39"/>
      <c r="E272" s="1"/>
      <c r="F272" s="39"/>
      <c r="G272" s="39"/>
      <c r="H272" s="39"/>
      <c r="I272" s="39"/>
      <c r="J272" s="1"/>
      <c r="K272" s="39"/>
      <c r="L272" s="39"/>
      <c r="M272" s="39"/>
      <c r="N272" s="39"/>
      <c r="O272" s="1"/>
      <c r="P272" s="39"/>
      <c r="Q272" s="39"/>
      <c r="R272" s="39"/>
      <c r="S272" s="39"/>
    </row>
    <row r="273" spans="1:19" ht="21" customHeight="1">
      <c r="A273" s="39"/>
      <c r="B273" s="39"/>
      <c r="C273" s="39"/>
      <c r="D273" s="39"/>
      <c r="E273" s="1"/>
      <c r="F273" s="39"/>
      <c r="G273" s="39"/>
      <c r="H273" s="39"/>
      <c r="I273" s="39"/>
      <c r="J273" s="1"/>
      <c r="K273" s="39"/>
      <c r="L273" s="39"/>
      <c r="M273" s="39"/>
      <c r="N273" s="39"/>
      <c r="O273" s="1"/>
      <c r="P273" s="39"/>
      <c r="Q273" s="39"/>
      <c r="R273" s="39"/>
      <c r="S273" s="39"/>
    </row>
    <row r="274" spans="1:19" ht="21" customHeight="1">
      <c r="A274" s="40"/>
      <c r="B274" s="40"/>
      <c r="C274" s="40"/>
      <c r="D274" s="40"/>
      <c r="E274" s="1"/>
      <c r="F274" s="40"/>
      <c r="G274" s="40"/>
      <c r="H274" s="40"/>
      <c r="I274" s="40"/>
      <c r="J274" s="1"/>
      <c r="K274" s="40"/>
      <c r="L274" s="40"/>
      <c r="M274" s="40"/>
      <c r="N274" s="40"/>
      <c r="O274" s="1"/>
      <c r="P274" s="40"/>
      <c r="Q274" s="40"/>
      <c r="R274" s="40"/>
      <c r="S274" s="40"/>
    </row>
    <row r="275" spans="1:19" ht="21" customHeight="1">
      <c r="A275" s="40"/>
      <c r="B275" s="40"/>
      <c r="C275" s="40"/>
      <c r="D275" s="40"/>
      <c r="E275" s="1"/>
      <c r="F275" s="40"/>
      <c r="G275" s="40"/>
      <c r="H275" s="40"/>
      <c r="I275" s="40"/>
      <c r="J275" s="1"/>
      <c r="K275" s="40"/>
      <c r="L275" s="40"/>
      <c r="M275" s="40"/>
      <c r="N275" s="40"/>
      <c r="O275" s="1"/>
      <c r="P275" s="40"/>
      <c r="Q275" s="40"/>
      <c r="R275" s="40"/>
      <c r="S275" s="40"/>
    </row>
    <row r="276" spans="1:19" ht="21" customHeight="1">
      <c r="A276" s="40"/>
      <c r="B276" s="40"/>
      <c r="C276" s="40"/>
      <c r="D276" s="40"/>
      <c r="E276" s="1"/>
      <c r="F276" s="40"/>
      <c r="G276" s="40"/>
      <c r="H276" s="40"/>
      <c r="I276" s="40"/>
      <c r="J276" s="1"/>
      <c r="K276" s="40"/>
      <c r="L276" s="40"/>
      <c r="M276" s="40"/>
      <c r="N276" s="40"/>
      <c r="O276" s="1"/>
      <c r="P276" s="40"/>
      <c r="Q276" s="40"/>
      <c r="R276" s="40"/>
      <c r="S276" s="40"/>
    </row>
    <row r="277" spans="1:19" ht="21" customHeight="1">
      <c r="A277" s="40"/>
      <c r="B277" s="40"/>
      <c r="C277" s="40"/>
      <c r="D277" s="40"/>
      <c r="E277" s="1"/>
      <c r="F277" s="40"/>
      <c r="G277" s="40"/>
      <c r="H277" s="40"/>
      <c r="I277" s="40"/>
      <c r="J277" s="1"/>
      <c r="K277" s="40"/>
      <c r="L277" s="40"/>
      <c r="M277" s="40"/>
      <c r="N277" s="40"/>
      <c r="O277" s="1"/>
      <c r="P277" s="40"/>
      <c r="Q277" s="40"/>
      <c r="R277" s="40"/>
      <c r="S277" s="40"/>
    </row>
    <row r="278" spans="1:19" ht="21" customHeight="1">
      <c r="A278" s="40"/>
      <c r="B278" s="40"/>
      <c r="C278" s="40"/>
      <c r="D278" s="40"/>
      <c r="E278" s="1"/>
      <c r="F278" s="40"/>
      <c r="G278" s="40"/>
      <c r="H278" s="40"/>
      <c r="I278" s="40"/>
      <c r="J278" s="1"/>
      <c r="K278" s="40"/>
      <c r="L278" s="40"/>
      <c r="M278" s="40"/>
      <c r="N278" s="40"/>
      <c r="O278" s="1"/>
      <c r="P278" s="40"/>
      <c r="Q278" s="40"/>
      <c r="R278" s="40"/>
      <c r="S278" s="40"/>
    </row>
    <row r="279" spans="1:19" ht="21" customHeight="1">
      <c r="A279" s="40"/>
      <c r="B279" s="40"/>
      <c r="C279" s="40"/>
      <c r="D279" s="40"/>
      <c r="E279" s="1"/>
      <c r="F279" s="40"/>
      <c r="G279" s="40"/>
      <c r="H279" s="40"/>
      <c r="I279" s="40"/>
      <c r="J279" s="1"/>
      <c r="K279" s="40"/>
      <c r="L279" s="40"/>
      <c r="M279" s="40"/>
      <c r="N279" s="40"/>
      <c r="O279" s="1"/>
      <c r="P279" s="40"/>
      <c r="Q279" s="40"/>
      <c r="R279" s="40"/>
      <c r="S279" s="40"/>
    </row>
    <row r="280" spans="1:19" ht="21" customHeight="1">
      <c r="A280" s="41" t="s">
        <v>406</v>
      </c>
      <c r="B280" s="41"/>
      <c r="C280" s="41"/>
      <c r="D280" s="41"/>
      <c r="E280" s="1"/>
      <c r="F280" s="41" t="s">
        <v>400</v>
      </c>
      <c r="G280" s="41"/>
      <c r="H280" s="41"/>
      <c r="I280" s="41"/>
      <c r="J280" s="1"/>
      <c r="K280" s="41" t="s">
        <v>410</v>
      </c>
      <c r="L280" s="41"/>
      <c r="M280" s="41"/>
      <c r="N280" s="41"/>
      <c r="O280" s="1"/>
      <c r="P280" s="41" t="s">
        <v>455</v>
      </c>
      <c r="Q280" s="41"/>
      <c r="R280" s="41"/>
      <c r="S280" s="41"/>
    </row>
    <row r="281" spans="1:19" ht="21" customHeight="1">
      <c r="A281" s="17" t="str">
        <f>HYPERLINK("#'The 100'!B"&amp;(MATCH(89,'The 100'!$A$7:$A$106,0)+6),"View this entry →")</f>
        <v>View this entry →</v>
      </c>
      <c r="B281" s="17"/>
      <c r="C281" s="17"/>
      <c r="D281" s="17"/>
      <c r="E281" s="1"/>
      <c r="F281" s="17" t="str">
        <f>HYPERLINK("#'The 100'!B"&amp;(MATCH(90,'The 100'!$A$7:$A$106,0)+6),"View this entry →")</f>
        <v>View this entry →</v>
      </c>
      <c r="G281" s="17"/>
      <c r="H281" s="17"/>
      <c r="I281" s="17"/>
      <c r="J281" s="1"/>
      <c r="K281" s="17" t="str">
        <f>HYPERLINK("#'The 100'!B"&amp;(MATCH(91,'The 100'!$A$7:$A$106,0)+6),"View this entry →")</f>
        <v>View this entry →</v>
      </c>
      <c r="L281" s="17"/>
      <c r="M281" s="17"/>
      <c r="N281" s="17"/>
      <c r="O281" s="1"/>
      <c r="P281" s="17" t="str">
        <f>HYPERLINK("#'The 100'!B"&amp;(MATCH(92,'The 100'!$A$7:$A$106,0)+6),"View this entry →")</f>
        <v>View this entry →</v>
      </c>
      <c r="Q281" s="17"/>
      <c r="R281" s="17"/>
      <c r="S281" s="17"/>
    </row>
    <row r="282" spans="1:19" ht="21" customHeight="1">
      <c r="A282" s="1"/>
      <c r="B282" s="1"/>
      <c r="C282" s="1"/>
      <c r="D282" s="1"/>
      <c r="E282" s="1"/>
      <c r="F282" s="1"/>
      <c r="G282" s="1"/>
      <c r="H282" s="1"/>
      <c r="I282" s="1"/>
      <c r="J282" s="1"/>
      <c r="K282" s="1"/>
      <c r="L282" s="1"/>
      <c r="M282" s="1"/>
      <c r="N282" s="1"/>
      <c r="O282" s="1"/>
      <c r="P282" s="1"/>
      <c r="Q282" s="1"/>
      <c r="R282" s="1"/>
      <c r="S282" s="1"/>
    </row>
    <row r="283" spans="1:19" ht="21" customHeight="1">
      <c r="A283" s="39" t="s">
        <v>456</v>
      </c>
      <c r="B283" s="39"/>
      <c r="C283" s="39"/>
      <c r="D283" s="39"/>
      <c r="E283" s="1"/>
      <c r="F283" s="39" t="s">
        <v>457</v>
      </c>
      <c r="G283" s="39"/>
      <c r="H283" s="39"/>
      <c r="I283" s="39"/>
      <c r="J283" s="1"/>
      <c r="K283" s="39" t="s">
        <v>458</v>
      </c>
      <c r="L283" s="39"/>
      <c r="M283" s="39"/>
      <c r="N283" s="39"/>
      <c r="O283" s="1"/>
      <c r="P283" s="39" t="s">
        <v>459</v>
      </c>
      <c r="Q283" s="39"/>
      <c r="R283" s="39"/>
      <c r="S283" s="39"/>
    </row>
    <row r="284" spans="1:19" ht="21" customHeight="1">
      <c r="A284" s="39"/>
      <c r="B284" s="39"/>
      <c r="C284" s="39"/>
      <c r="D284" s="39"/>
      <c r="E284" s="1"/>
      <c r="F284" s="39"/>
      <c r="G284" s="39"/>
      <c r="H284" s="39"/>
      <c r="I284" s="39"/>
      <c r="J284" s="1"/>
      <c r="K284" s="39"/>
      <c r="L284" s="39"/>
      <c r="M284" s="39"/>
      <c r="N284" s="39"/>
      <c r="O284" s="1"/>
      <c r="P284" s="39"/>
      <c r="Q284" s="39"/>
      <c r="R284" s="39"/>
      <c r="S284" s="39"/>
    </row>
    <row r="285" spans="1:19" ht="21" customHeight="1">
      <c r="A285" s="39"/>
      <c r="B285" s="39"/>
      <c r="C285" s="39"/>
      <c r="D285" s="39"/>
      <c r="E285" s="1"/>
      <c r="F285" s="39"/>
      <c r="G285" s="39"/>
      <c r="H285" s="39"/>
      <c r="I285" s="39"/>
      <c r="J285" s="1"/>
      <c r="K285" s="39"/>
      <c r="L285" s="39"/>
      <c r="M285" s="39"/>
      <c r="N285" s="39"/>
      <c r="O285" s="1"/>
      <c r="P285" s="39"/>
      <c r="Q285" s="39"/>
      <c r="R285" s="39"/>
      <c r="S285" s="39"/>
    </row>
    <row r="286" spans="1:19" ht="21" customHeight="1">
      <c r="A286" s="40"/>
      <c r="B286" s="40"/>
      <c r="C286" s="40"/>
      <c r="D286" s="40"/>
      <c r="E286" s="1"/>
      <c r="F286" s="40"/>
      <c r="G286" s="40"/>
      <c r="H286" s="40"/>
      <c r="I286" s="40"/>
      <c r="J286" s="1"/>
      <c r="K286" s="40"/>
      <c r="L286" s="40"/>
      <c r="M286" s="40"/>
      <c r="N286" s="40"/>
      <c r="O286" s="1"/>
      <c r="P286" s="40"/>
      <c r="Q286" s="40"/>
      <c r="R286" s="40"/>
      <c r="S286" s="40"/>
    </row>
    <row r="287" spans="1:19" ht="21" customHeight="1">
      <c r="A287" s="40"/>
      <c r="B287" s="40"/>
      <c r="C287" s="40"/>
      <c r="D287" s="40"/>
      <c r="E287" s="1"/>
      <c r="F287" s="40"/>
      <c r="G287" s="40"/>
      <c r="H287" s="40"/>
      <c r="I287" s="40"/>
      <c r="J287" s="1"/>
      <c r="K287" s="40"/>
      <c r="L287" s="40"/>
      <c r="M287" s="40"/>
      <c r="N287" s="40"/>
      <c r="O287" s="1"/>
      <c r="P287" s="40"/>
      <c r="Q287" s="40"/>
      <c r="R287" s="40"/>
      <c r="S287" s="40"/>
    </row>
    <row r="288" spans="1:19" ht="21" customHeight="1">
      <c r="A288" s="40"/>
      <c r="B288" s="40"/>
      <c r="C288" s="40"/>
      <c r="D288" s="40"/>
      <c r="E288" s="1"/>
      <c r="F288" s="40"/>
      <c r="G288" s="40"/>
      <c r="H288" s="40"/>
      <c r="I288" s="40"/>
      <c r="J288" s="1"/>
      <c r="K288" s="40"/>
      <c r="L288" s="40"/>
      <c r="M288" s="40"/>
      <c r="N288" s="40"/>
      <c r="O288" s="1"/>
      <c r="P288" s="40"/>
      <c r="Q288" s="40"/>
      <c r="R288" s="40"/>
      <c r="S288" s="40"/>
    </row>
    <row r="289" spans="1:19" ht="21" customHeight="1">
      <c r="A289" s="40"/>
      <c r="B289" s="40"/>
      <c r="C289" s="40"/>
      <c r="D289" s="40"/>
      <c r="E289" s="1"/>
      <c r="F289" s="40"/>
      <c r="G289" s="40"/>
      <c r="H289" s="40"/>
      <c r="I289" s="40"/>
      <c r="J289" s="1"/>
      <c r="K289" s="40"/>
      <c r="L289" s="40"/>
      <c r="M289" s="40"/>
      <c r="N289" s="40"/>
      <c r="O289" s="1"/>
      <c r="P289" s="40"/>
      <c r="Q289" s="40"/>
      <c r="R289" s="40"/>
      <c r="S289" s="40"/>
    </row>
    <row r="290" spans="1:19" ht="21" customHeight="1">
      <c r="A290" s="40"/>
      <c r="B290" s="40"/>
      <c r="C290" s="40"/>
      <c r="D290" s="40"/>
      <c r="E290" s="1"/>
      <c r="F290" s="40"/>
      <c r="G290" s="40"/>
      <c r="H290" s="40"/>
      <c r="I290" s="40"/>
      <c r="J290" s="1"/>
      <c r="K290" s="40"/>
      <c r="L290" s="40"/>
      <c r="M290" s="40"/>
      <c r="N290" s="40"/>
      <c r="O290" s="1"/>
      <c r="P290" s="40"/>
      <c r="Q290" s="40"/>
      <c r="R290" s="40"/>
      <c r="S290" s="40"/>
    </row>
    <row r="291" spans="1:19" ht="21" customHeight="1">
      <c r="A291" s="40"/>
      <c r="B291" s="40"/>
      <c r="C291" s="40"/>
      <c r="D291" s="40"/>
      <c r="E291" s="1"/>
      <c r="F291" s="40"/>
      <c r="G291" s="40"/>
      <c r="H291" s="40"/>
      <c r="I291" s="40"/>
      <c r="J291" s="1"/>
      <c r="K291" s="40"/>
      <c r="L291" s="40"/>
      <c r="M291" s="40"/>
      <c r="N291" s="40"/>
      <c r="O291" s="1"/>
      <c r="P291" s="40"/>
      <c r="Q291" s="40"/>
      <c r="R291" s="40"/>
      <c r="S291" s="40"/>
    </row>
    <row r="292" spans="1:19" ht="21" customHeight="1">
      <c r="A292" s="41" t="s">
        <v>396</v>
      </c>
      <c r="B292" s="41"/>
      <c r="C292" s="41"/>
      <c r="D292" s="41"/>
      <c r="E292" s="1"/>
      <c r="F292" s="41" t="s">
        <v>406</v>
      </c>
      <c r="G292" s="41"/>
      <c r="H292" s="41"/>
      <c r="I292" s="41"/>
      <c r="J292" s="1"/>
      <c r="K292" s="41" t="s">
        <v>425</v>
      </c>
      <c r="L292" s="41"/>
      <c r="M292" s="41"/>
      <c r="N292" s="41"/>
      <c r="O292" s="1"/>
      <c r="P292" s="41" t="s">
        <v>432</v>
      </c>
      <c r="Q292" s="41"/>
      <c r="R292" s="41"/>
      <c r="S292" s="41"/>
    </row>
    <row r="293" spans="1:19" ht="21" customHeight="1">
      <c r="A293" s="17" t="str">
        <f>HYPERLINK("#'The 100'!B"&amp;(MATCH(93,'The 100'!$A$7:$A$106,0)+6),"View this entry →")</f>
        <v>View this entry →</v>
      </c>
      <c r="B293" s="17"/>
      <c r="C293" s="17"/>
      <c r="D293" s="17"/>
      <c r="E293" s="1"/>
      <c r="F293" s="17" t="str">
        <f>HYPERLINK("#'The 100'!B"&amp;(MATCH(94,'The 100'!$A$7:$A$106,0)+6),"View this entry →")</f>
        <v>View this entry →</v>
      </c>
      <c r="G293" s="17"/>
      <c r="H293" s="17"/>
      <c r="I293" s="17"/>
      <c r="J293" s="1"/>
      <c r="K293" s="17" t="str">
        <f>HYPERLINK("#'The 100'!B"&amp;(MATCH(95,'The 100'!$A$7:$A$106,0)+6),"View this entry →")</f>
        <v>View this entry →</v>
      </c>
      <c r="L293" s="17"/>
      <c r="M293" s="17"/>
      <c r="N293" s="17"/>
      <c r="O293" s="1"/>
      <c r="P293" s="17" t="str">
        <f>HYPERLINK("#'The 100'!B"&amp;(MATCH(96,'The 100'!$A$7:$A$106,0)+6),"View this entry →")</f>
        <v>View this entry →</v>
      </c>
      <c r="Q293" s="17"/>
      <c r="R293" s="17"/>
      <c r="S293" s="17"/>
    </row>
    <row r="294" spans="1:19" ht="21" customHeight="1">
      <c r="A294" s="1"/>
      <c r="B294" s="1"/>
      <c r="C294" s="1"/>
      <c r="D294" s="1"/>
      <c r="E294" s="1"/>
      <c r="F294" s="1"/>
      <c r="G294" s="1"/>
      <c r="H294" s="1"/>
      <c r="I294" s="1"/>
      <c r="J294" s="1"/>
      <c r="K294" s="1"/>
      <c r="L294" s="1"/>
      <c r="M294" s="1"/>
      <c r="N294" s="1"/>
      <c r="O294" s="1"/>
      <c r="P294" s="1"/>
      <c r="Q294" s="1"/>
      <c r="R294" s="1"/>
      <c r="S294" s="1"/>
    </row>
    <row r="295" spans="1:19" ht="21" customHeight="1">
      <c r="A295" s="39" t="s">
        <v>460</v>
      </c>
      <c r="B295" s="39"/>
      <c r="C295" s="39"/>
      <c r="D295" s="39"/>
      <c r="E295" s="1"/>
      <c r="F295" s="39" t="s">
        <v>461</v>
      </c>
      <c r="G295" s="39"/>
      <c r="H295" s="39"/>
      <c r="I295" s="39"/>
      <c r="J295" s="1"/>
      <c r="K295" s="39" t="s">
        <v>462</v>
      </c>
      <c r="L295" s="39"/>
      <c r="M295" s="39"/>
      <c r="N295" s="39"/>
      <c r="O295" s="1"/>
      <c r="P295" s="39" t="s">
        <v>463</v>
      </c>
      <c r="Q295" s="39"/>
      <c r="R295" s="39"/>
      <c r="S295" s="39"/>
    </row>
    <row r="296" spans="1:19" ht="21" customHeight="1">
      <c r="A296" s="39"/>
      <c r="B296" s="39"/>
      <c r="C296" s="39"/>
      <c r="D296" s="39"/>
      <c r="E296" s="1"/>
      <c r="F296" s="39"/>
      <c r="G296" s="39"/>
      <c r="H296" s="39"/>
      <c r="I296" s="39"/>
      <c r="J296" s="1"/>
      <c r="K296" s="39"/>
      <c r="L296" s="39"/>
      <c r="M296" s="39"/>
      <c r="N296" s="39"/>
      <c r="O296" s="1"/>
      <c r="P296" s="39"/>
      <c r="Q296" s="39"/>
      <c r="R296" s="39"/>
      <c r="S296" s="39"/>
    </row>
    <row r="297" spans="1:19" ht="21" customHeight="1">
      <c r="A297" s="39"/>
      <c r="B297" s="39"/>
      <c r="C297" s="39"/>
      <c r="D297" s="39"/>
      <c r="E297" s="1"/>
      <c r="F297" s="39"/>
      <c r="G297" s="39"/>
      <c r="H297" s="39"/>
      <c r="I297" s="39"/>
      <c r="J297" s="1"/>
      <c r="K297" s="39"/>
      <c r="L297" s="39"/>
      <c r="M297" s="39"/>
      <c r="N297" s="39"/>
      <c r="O297" s="1"/>
      <c r="P297" s="39"/>
      <c r="Q297" s="39"/>
      <c r="R297" s="39"/>
      <c r="S297" s="39"/>
    </row>
    <row r="298" spans="1:19" ht="21" customHeight="1">
      <c r="A298" s="40"/>
      <c r="B298" s="40"/>
      <c r="C298" s="40"/>
      <c r="D298" s="40"/>
      <c r="E298" s="1"/>
      <c r="F298" s="40"/>
      <c r="G298" s="40"/>
      <c r="H298" s="40"/>
      <c r="I298" s="40"/>
      <c r="J298" s="1"/>
      <c r="K298" s="40"/>
      <c r="L298" s="40"/>
      <c r="M298" s="40"/>
      <c r="N298" s="40"/>
      <c r="O298" s="1"/>
      <c r="P298" s="40"/>
      <c r="Q298" s="40"/>
      <c r="R298" s="40"/>
      <c r="S298" s="40"/>
    </row>
    <row r="299" spans="1:19" ht="21" customHeight="1">
      <c r="A299" s="40"/>
      <c r="B299" s="40"/>
      <c r="C299" s="40"/>
      <c r="D299" s="40"/>
      <c r="E299" s="1"/>
      <c r="F299" s="40"/>
      <c r="G299" s="40"/>
      <c r="H299" s="40"/>
      <c r="I299" s="40"/>
      <c r="J299" s="1"/>
      <c r="K299" s="40"/>
      <c r="L299" s="40"/>
      <c r="M299" s="40"/>
      <c r="N299" s="40"/>
      <c r="O299" s="1"/>
      <c r="P299" s="40"/>
      <c r="Q299" s="40"/>
      <c r="R299" s="40"/>
      <c r="S299" s="40"/>
    </row>
    <row r="300" spans="1:19" ht="21" customHeight="1">
      <c r="A300" s="40"/>
      <c r="B300" s="40"/>
      <c r="C300" s="40"/>
      <c r="D300" s="40"/>
      <c r="E300" s="1"/>
      <c r="F300" s="40"/>
      <c r="G300" s="40"/>
      <c r="H300" s="40"/>
      <c r="I300" s="40"/>
      <c r="J300" s="1"/>
      <c r="K300" s="40"/>
      <c r="L300" s="40"/>
      <c r="M300" s="40"/>
      <c r="N300" s="40"/>
      <c r="O300" s="1"/>
      <c r="P300" s="40"/>
      <c r="Q300" s="40"/>
      <c r="R300" s="40"/>
      <c r="S300" s="40"/>
    </row>
    <row r="301" spans="1:19" ht="21" customHeight="1">
      <c r="A301" s="40"/>
      <c r="B301" s="40"/>
      <c r="C301" s="40"/>
      <c r="D301" s="40"/>
      <c r="E301" s="1"/>
      <c r="F301" s="40"/>
      <c r="G301" s="40"/>
      <c r="H301" s="40"/>
      <c r="I301" s="40"/>
      <c r="J301" s="1"/>
      <c r="K301" s="40"/>
      <c r="L301" s="40"/>
      <c r="M301" s="40"/>
      <c r="N301" s="40"/>
      <c r="O301" s="1"/>
      <c r="P301" s="40"/>
      <c r="Q301" s="40"/>
      <c r="R301" s="40"/>
      <c r="S301" s="40"/>
    </row>
    <row r="302" spans="1:19" ht="21" customHeight="1">
      <c r="A302" s="40"/>
      <c r="B302" s="40"/>
      <c r="C302" s="40"/>
      <c r="D302" s="40"/>
      <c r="E302" s="1"/>
      <c r="F302" s="40"/>
      <c r="G302" s="40"/>
      <c r="H302" s="40"/>
      <c r="I302" s="40"/>
      <c r="J302" s="1"/>
      <c r="K302" s="40"/>
      <c r="L302" s="40"/>
      <c r="M302" s="40"/>
      <c r="N302" s="40"/>
      <c r="O302" s="1"/>
      <c r="P302" s="40"/>
      <c r="Q302" s="40"/>
      <c r="R302" s="40"/>
      <c r="S302" s="40"/>
    </row>
    <row r="303" spans="1:19" ht="21" customHeight="1">
      <c r="A303" s="40"/>
      <c r="B303" s="40"/>
      <c r="C303" s="40"/>
      <c r="D303" s="40"/>
      <c r="E303" s="1"/>
      <c r="F303" s="40"/>
      <c r="G303" s="40"/>
      <c r="H303" s="40"/>
      <c r="I303" s="40"/>
      <c r="J303" s="1"/>
      <c r="K303" s="40"/>
      <c r="L303" s="40"/>
      <c r="M303" s="40"/>
      <c r="N303" s="40"/>
      <c r="O303" s="1"/>
      <c r="P303" s="40"/>
      <c r="Q303" s="40"/>
      <c r="R303" s="40"/>
      <c r="S303" s="40"/>
    </row>
    <row r="304" spans="1:19" ht="21" customHeight="1">
      <c r="A304" s="41" t="s">
        <v>425</v>
      </c>
      <c r="B304" s="41"/>
      <c r="C304" s="41"/>
      <c r="D304" s="41"/>
      <c r="E304" s="1"/>
      <c r="F304" s="41" t="s">
        <v>430</v>
      </c>
      <c r="G304" s="41"/>
      <c r="H304" s="41"/>
      <c r="I304" s="41"/>
      <c r="J304" s="1"/>
      <c r="K304" s="41" t="s">
        <v>432</v>
      </c>
      <c r="L304" s="41"/>
      <c r="M304" s="41"/>
      <c r="N304" s="41"/>
      <c r="O304" s="1"/>
      <c r="P304" s="41" t="s">
        <v>428</v>
      </c>
      <c r="Q304" s="41"/>
      <c r="R304" s="41"/>
      <c r="S304" s="41"/>
    </row>
    <row r="305" spans="1:19" ht="21" customHeight="1">
      <c r="A305" s="17" t="str">
        <f>HYPERLINK("#'The 100'!B"&amp;(MATCH(97,'The 100'!$A$7:$A$106,0)+6),"View this entry →")</f>
        <v>View this entry →</v>
      </c>
      <c r="B305" s="17"/>
      <c r="C305" s="17"/>
      <c r="D305" s="17"/>
      <c r="E305" s="1"/>
      <c r="F305" s="17" t="str">
        <f>HYPERLINK("#'The 100'!B"&amp;(MATCH(98,'The 100'!$A$7:$A$106,0)+6),"View this entry →")</f>
        <v>View this entry →</v>
      </c>
      <c r="G305" s="17"/>
      <c r="H305" s="17"/>
      <c r="I305" s="17"/>
      <c r="J305" s="1"/>
      <c r="K305" s="17" t="str">
        <f>HYPERLINK("#'The 100'!B"&amp;(MATCH(99,'The 100'!$A$7:$A$106,0)+6),"View this entry →")</f>
        <v>View this entry →</v>
      </c>
      <c r="L305" s="17"/>
      <c r="M305" s="17"/>
      <c r="N305" s="17"/>
      <c r="O305" s="1"/>
      <c r="P305" s="17" t="str">
        <f>HYPERLINK("#'The 100'!B"&amp;(MATCH(100,'The 100'!$A$7:$A$106,0)+6),"View this entry →")</f>
        <v>View this entry →</v>
      </c>
      <c r="Q305" s="17"/>
      <c r="R305" s="17"/>
      <c r="S305" s="17"/>
    </row>
    <row r="306" spans="1:19" ht="21" customHeight="1">
      <c r="A306" s="1"/>
      <c r="B306" s="1"/>
      <c r="C306" s="1"/>
      <c r="D306" s="1"/>
      <c r="E306" s="1"/>
      <c r="F306" s="1"/>
      <c r="G306" s="1"/>
      <c r="H306" s="1"/>
      <c r="I306" s="1"/>
      <c r="J306" s="1"/>
      <c r="K306" s="1"/>
      <c r="L306" s="1"/>
      <c r="M306" s="1"/>
      <c r="N306" s="1"/>
      <c r="O306" s="1"/>
      <c r="P306" s="1"/>
      <c r="Q306" s="1"/>
      <c r="R306" s="1"/>
      <c r="S306" s="1"/>
    </row>
    <row r="307" spans="1:19" ht="21" customHeight="1">
      <c r="A307" s="1"/>
      <c r="B307" s="1"/>
      <c r="C307" s="1"/>
      <c r="D307" s="1"/>
      <c r="E307" s="1"/>
      <c r="F307" s="1"/>
      <c r="G307" s="1"/>
      <c r="H307" s="1"/>
      <c r="I307" s="1"/>
      <c r="J307" s="1"/>
      <c r="K307" s="1"/>
      <c r="L307" s="1"/>
      <c r="M307" s="1"/>
      <c r="N307" s="1"/>
      <c r="O307" s="1"/>
      <c r="P307" s="1"/>
      <c r="Q307" s="1"/>
      <c r="R307" s="1"/>
      <c r="S307" s="1"/>
    </row>
    <row r="310" spans="1:19" ht="25" customHeight="1">
      <c r="A310" s="9" t="s">
        <v>530</v>
      </c>
      <c r="B310" s="9"/>
      <c r="C310" s="9"/>
      <c r="D310" s="9"/>
      <c r="E310" s="9"/>
      <c r="F310" s="9"/>
      <c r="G310" s="9"/>
      <c r="H310" s="9"/>
      <c r="I310" s="9"/>
      <c r="J310" s="9"/>
      <c r="K310" s="9"/>
      <c r="L310" s="9"/>
      <c r="M310" s="9"/>
      <c r="N310" s="9"/>
      <c r="O310" s="9"/>
      <c r="P310" s="9"/>
      <c r="Q310" s="9"/>
      <c r="R310" s="9"/>
      <c r="S310" s="9"/>
    </row>
    <row r="311" spans="1:19" ht="32" customHeight="1">
      <c r="A311" s="17" t="s">
        <v>531</v>
      </c>
      <c r="B311" s="17"/>
      <c r="C311" s="17"/>
      <c r="D311" s="17"/>
      <c r="E311" s="17"/>
      <c r="F311" s="17"/>
      <c r="G311" s="17" t="s">
        <v>532</v>
      </c>
      <c r="H311" s="17"/>
      <c r="I311" s="17"/>
      <c r="J311" s="17"/>
      <c r="K311" s="17"/>
      <c r="L311" s="17"/>
      <c r="M311" s="17" t="s">
        <v>533</v>
      </c>
      <c r="N311" s="17"/>
      <c r="O311" s="17"/>
      <c r="P311" s="17"/>
      <c r="Q311" s="17"/>
      <c r="R311" s="17"/>
      <c r="S311" s="17"/>
    </row>
  </sheetData>
  <mergeCells count="407">
    <mergeCell ref="A1:S1"/>
    <mergeCell ref="A2:S2"/>
    <mergeCell ref="A5:S5"/>
    <mergeCell ref="A7:D9"/>
    <mergeCell ref="A10:D15"/>
    <mergeCell ref="A16:D16"/>
    <mergeCell ref="A17:D17"/>
    <mergeCell ref="F7:I9"/>
    <mergeCell ref="F10:I15"/>
    <mergeCell ref="F16:I16"/>
    <mergeCell ref="F17:I17"/>
    <mergeCell ref="K7:N9"/>
    <mergeCell ref="K10:N15"/>
    <mergeCell ref="K16:N16"/>
    <mergeCell ref="K17:N17"/>
    <mergeCell ref="P7:S9"/>
    <mergeCell ref="P10:S15"/>
    <mergeCell ref="P16:S16"/>
    <mergeCell ref="P17:S17"/>
    <mergeCell ref="A19:D21"/>
    <mergeCell ref="A22:D27"/>
    <mergeCell ref="A28:D28"/>
    <mergeCell ref="A29:D29"/>
    <mergeCell ref="F19:I21"/>
    <mergeCell ref="F22:I27"/>
    <mergeCell ref="F28:I28"/>
    <mergeCell ref="F29:I29"/>
    <mergeCell ref="K19:N21"/>
    <mergeCell ref="K22:N27"/>
    <mergeCell ref="K28:N28"/>
    <mergeCell ref="K29:N29"/>
    <mergeCell ref="P19:S21"/>
    <mergeCell ref="P22:S27"/>
    <mergeCell ref="P28:S28"/>
    <mergeCell ref="P29:S29"/>
    <mergeCell ref="A31:D33"/>
    <mergeCell ref="A34:D39"/>
    <mergeCell ref="A40:D40"/>
    <mergeCell ref="A41:D41"/>
    <mergeCell ref="F31:I33"/>
    <mergeCell ref="F34:I39"/>
    <mergeCell ref="F40:I40"/>
    <mergeCell ref="F41:I41"/>
    <mergeCell ref="K31:N33"/>
    <mergeCell ref="K34:N39"/>
    <mergeCell ref="K40:N40"/>
    <mergeCell ref="K41:N41"/>
    <mergeCell ref="P31:S33"/>
    <mergeCell ref="P34:S39"/>
    <mergeCell ref="P40:S40"/>
    <mergeCell ref="P41:S41"/>
    <mergeCell ref="A43:D45"/>
    <mergeCell ref="A46:D51"/>
    <mergeCell ref="A52:D52"/>
    <mergeCell ref="A53:D53"/>
    <mergeCell ref="F43:I45"/>
    <mergeCell ref="F46:I51"/>
    <mergeCell ref="F52:I52"/>
    <mergeCell ref="F53:I53"/>
    <mergeCell ref="K43:N45"/>
    <mergeCell ref="K46:N51"/>
    <mergeCell ref="K52:N52"/>
    <mergeCell ref="K53:N53"/>
    <mergeCell ref="P43:S45"/>
    <mergeCell ref="P46:S51"/>
    <mergeCell ref="P52:S52"/>
    <mergeCell ref="P53:S53"/>
    <mergeCell ref="A55:D57"/>
    <mergeCell ref="A58:D63"/>
    <mergeCell ref="A64:D64"/>
    <mergeCell ref="A65:D65"/>
    <mergeCell ref="F55:I57"/>
    <mergeCell ref="F58:I63"/>
    <mergeCell ref="F64:I64"/>
    <mergeCell ref="F65:I65"/>
    <mergeCell ref="K55:N57"/>
    <mergeCell ref="K58:N63"/>
    <mergeCell ref="K64:N64"/>
    <mergeCell ref="K65:N65"/>
    <mergeCell ref="P55:S57"/>
    <mergeCell ref="P58:S63"/>
    <mergeCell ref="P64:S64"/>
    <mergeCell ref="P65:S65"/>
    <mergeCell ref="A67:D69"/>
    <mergeCell ref="A70:D75"/>
    <mergeCell ref="A76:D76"/>
    <mergeCell ref="A77:D77"/>
    <mergeCell ref="F67:I69"/>
    <mergeCell ref="F70:I75"/>
    <mergeCell ref="F76:I76"/>
    <mergeCell ref="F77:I77"/>
    <mergeCell ref="K67:N69"/>
    <mergeCell ref="K70:N75"/>
    <mergeCell ref="K76:N76"/>
    <mergeCell ref="K77:N77"/>
    <mergeCell ref="P67:S69"/>
    <mergeCell ref="P70:S75"/>
    <mergeCell ref="P76:S76"/>
    <mergeCell ref="P77:S77"/>
    <mergeCell ref="A79:D81"/>
    <mergeCell ref="A82:D87"/>
    <mergeCell ref="A88:D88"/>
    <mergeCell ref="A89:D89"/>
    <mergeCell ref="F79:I81"/>
    <mergeCell ref="F82:I87"/>
    <mergeCell ref="F88:I88"/>
    <mergeCell ref="F89:I89"/>
    <mergeCell ref="K79:N81"/>
    <mergeCell ref="K82:N87"/>
    <mergeCell ref="K88:N88"/>
    <mergeCell ref="K89:N89"/>
    <mergeCell ref="P79:S81"/>
    <mergeCell ref="P82:S87"/>
    <mergeCell ref="P88:S88"/>
    <mergeCell ref="P89:S89"/>
    <mergeCell ref="A91:D93"/>
    <mergeCell ref="A94:D99"/>
    <mergeCell ref="A100:D100"/>
    <mergeCell ref="A101:D101"/>
    <mergeCell ref="F91:I93"/>
    <mergeCell ref="F94:I99"/>
    <mergeCell ref="F100:I100"/>
    <mergeCell ref="F101:I101"/>
    <mergeCell ref="K91:N93"/>
    <mergeCell ref="K94:N99"/>
    <mergeCell ref="K100:N100"/>
    <mergeCell ref="K101:N101"/>
    <mergeCell ref="P91:S93"/>
    <mergeCell ref="P94:S99"/>
    <mergeCell ref="P100:S100"/>
    <mergeCell ref="P101:S101"/>
    <mergeCell ref="A103:D105"/>
    <mergeCell ref="A106:D111"/>
    <mergeCell ref="A112:D112"/>
    <mergeCell ref="A113:D113"/>
    <mergeCell ref="F103:I105"/>
    <mergeCell ref="F106:I111"/>
    <mergeCell ref="F112:I112"/>
    <mergeCell ref="F113:I113"/>
    <mergeCell ref="K103:N105"/>
    <mergeCell ref="K106:N111"/>
    <mergeCell ref="K112:N112"/>
    <mergeCell ref="K113:N113"/>
    <mergeCell ref="P103:S105"/>
    <mergeCell ref="P106:S111"/>
    <mergeCell ref="P112:S112"/>
    <mergeCell ref="P113:S113"/>
    <mergeCell ref="A115:D117"/>
    <mergeCell ref="A118:D123"/>
    <mergeCell ref="A124:D124"/>
    <mergeCell ref="A125:D125"/>
    <mergeCell ref="F115:I117"/>
    <mergeCell ref="F118:I123"/>
    <mergeCell ref="F124:I124"/>
    <mergeCell ref="F125:I125"/>
    <mergeCell ref="K115:N117"/>
    <mergeCell ref="K118:N123"/>
    <mergeCell ref="K124:N124"/>
    <mergeCell ref="K125:N125"/>
    <mergeCell ref="P115:S117"/>
    <mergeCell ref="P118:S123"/>
    <mergeCell ref="P124:S124"/>
    <mergeCell ref="P125:S125"/>
    <mergeCell ref="A127:D129"/>
    <mergeCell ref="A130:D135"/>
    <mergeCell ref="A136:D136"/>
    <mergeCell ref="A137:D137"/>
    <mergeCell ref="F127:I129"/>
    <mergeCell ref="F130:I135"/>
    <mergeCell ref="F136:I136"/>
    <mergeCell ref="F137:I137"/>
    <mergeCell ref="K127:N129"/>
    <mergeCell ref="K130:N135"/>
    <mergeCell ref="K136:N136"/>
    <mergeCell ref="K137:N137"/>
    <mergeCell ref="P127:S129"/>
    <mergeCell ref="P130:S135"/>
    <mergeCell ref="P136:S136"/>
    <mergeCell ref="P137:S137"/>
    <mergeCell ref="A139:D141"/>
    <mergeCell ref="A142:D147"/>
    <mergeCell ref="A148:D148"/>
    <mergeCell ref="A149:D149"/>
    <mergeCell ref="F139:I141"/>
    <mergeCell ref="F142:I147"/>
    <mergeCell ref="F148:I148"/>
    <mergeCell ref="F149:I149"/>
    <mergeCell ref="K139:N141"/>
    <mergeCell ref="K142:N147"/>
    <mergeCell ref="K148:N148"/>
    <mergeCell ref="K149:N149"/>
    <mergeCell ref="P139:S141"/>
    <mergeCell ref="P142:S147"/>
    <mergeCell ref="P148:S148"/>
    <mergeCell ref="P149:S149"/>
    <mergeCell ref="A151:D153"/>
    <mergeCell ref="A154:D159"/>
    <mergeCell ref="A160:D160"/>
    <mergeCell ref="A161:D161"/>
    <mergeCell ref="F151:I153"/>
    <mergeCell ref="F154:I159"/>
    <mergeCell ref="F160:I160"/>
    <mergeCell ref="F161:I161"/>
    <mergeCell ref="K151:N153"/>
    <mergeCell ref="K154:N159"/>
    <mergeCell ref="K160:N160"/>
    <mergeCell ref="K161:N161"/>
    <mergeCell ref="P151:S153"/>
    <mergeCell ref="P154:S159"/>
    <mergeCell ref="P160:S160"/>
    <mergeCell ref="P161:S161"/>
    <mergeCell ref="A163:D165"/>
    <mergeCell ref="A166:D171"/>
    <mergeCell ref="A172:D172"/>
    <mergeCell ref="A173:D173"/>
    <mergeCell ref="F163:I165"/>
    <mergeCell ref="F166:I171"/>
    <mergeCell ref="F172:I172"/>
    <mergeCell ref="F173:I173"/>
    <mergeCell ref="K163:N165"/>
    <mergeCell ref="K166:N171"/>
    <mergeCell ref="K172:N172"/>
    <mergeCell ref="K173:N173"/>
    <mergeCell ref="P163:S165"/>
    <mergeCell ref="P166:S171"/>
    <mergeCell ref="P172:S172"/>
    <mergeCell ref="P173:S173"/>
    <mergeCell ref="A175:D177"/>
    <mergeCell ref="A178:D183"/>
    <mergeCell ref="A184:D184"/>
    <mergeCell ref="A185:D185"/>
    <mergeCell ref="F175:I177"/>
    <mergeCell ref="F178:I183"/>
    <mergeCell ref="F184:I184"/>
    <mergeCell ref="F185:I185"/>
    <mergeCell ref="K175:N177"/>
    <mergeCell ref="K178:N183"/>
    <mergeCell ref="K184:N184"/>
    <mergeCell ref="K185:N185"/>
    <mergeCell ref="P175:S177"/>
    <mergeCell ref="P178:S183"/>
    <mergeCell ref="P184:S184"/>
    <mergeCell ref="P185:S185"/>
    <mergeCell ref="A187:D189"/>
    <mergeCell ref="A190:D195"/>
    <mergeCell ref="A196:D196"/>
    <mergeCell ref="A197:D197"/>
    <mergeCell ref="F187:I189"/>
    <mergeCell ref="F190:I195"/>
    <mergeCell ref="F196:I196"/>
    <mergeCell ref="F197:I197"/>
    <mergeCell ref="K187:N189"/>
    <mergeCell ref="K190:N195"/>
    <mergeCell ref="K196:N196"/>
    <mergeCell ref="K197:N197"/>
    <mergeCell ref="P187:S189"/>
    <mergeCell ref="P190:S195"/>
    <mergeCell ref="P196:S196"/>
    <mergeCell ref="P197:S197"/>
    <mergeCell ref="A199:D201"/>
    <mergeCell ref="A202:D207"/>
    <mergeCell ref="A208:D208"/>
    <mergeCell ref="A209:D209"/>
    <mergeCell ref="F199:I201"/>
    <mergeCell ref="F202:I207"/>
    <mergeCell ref="F208:I208"/>
    <mergeCell ref="F209:I209"/>
    <mergeCell ref="K199:N201"/>
    <mergeCell ref="K202:N207"/>
    <mergeCell ref="K208:N208"/>
    <mergeCell ref="K209:N209"/>
    <mergeCell ref="P199:S201"/>
    <mergeCell ref="P202:S207"/>
    <mergeCell ref="P208:S208"/>
    <mergeCell ref="P209:S209"/>
    <mergeCell ref="A211:D213"/>
    <mergeCell ref="A214:D219"/>
    <mergeCell ref="A220:D220"/>
    <mergeCell ref="A221:D221"/>
    <mergeCell ref="F211:I213"/>
    <mergeCell ref="F214:I219"/>
    <mergeCell ref="F220:I220"/>
    <mergeCell ref="F221:I221"/>
    <mergeCell ref="K211:N213"/>
    <mergeCell ref="K214:N219"/>
    <mergeCell ref="K220:N220"/>
    <mergeCell ref="K221:N221"/>
    <mergeCell ref="P211:S213"/>
    <mergeCell ref="P214:S219"/>
    <mergeCell ref="P220:S220"/>
    <mergeCell ref="P221:S221"/>
    <mergeCell ref="A223:D225"/>
    <mergeCell ref="A226:D231"/>
    <mergeCell ref="A232:D232"/>
    <mergeCell ref="A233:D233"/>
    <mergeCell ref="F223:I225"/>
    <mergeCell ref="F226:I231"/>
    <mergeCell ref="F232:I232"/>
    <mergeCell ref="F233:I233"/>
    <mergeCell ref="K223:N225"/>
    <mergeCell ref="K226:N231"/>
    <mergeCell ref="K232:N232"/>
    <mergeCell ref="K233:N233"/>
    <mergeCell ref="P223:S225"/>
    <mergeCell ref="P226:S231"/>
    <mergeCell ref="P232:S232"/>
    <mergeCell ref="P233:S233"/>
    <mergeCell ref="A235:D237"/>
    <mergeCell ref="A238:D243"/>
    <mergeCell ref="A244:D244"/>
    <mergeCell ref="A245:D245"/>
    <mergeCell ref="F235:I237"/>
    <mergeCell ref="F238:I243"/>
    <mergeCell ref="F244:I244"/>
    <mergeCell ref="F245:I245"/>
    <mergeCell ref="K235:N237"/>
    <mergeCell ref="K238:N243"/>
    <mergeCell ref="K244:N244"/>
    <mergeCell ref="K245:N245"/>
    <mergeCell ref="P235:S237"/>
    <mergeCell ref="P238:S243"/>
    <mergeCell ref="P244:S244"/>
    <mergeCell ref="P245:S245"/>
    <mergeCell ref="A247:D249"/>
    <mergeCell ref="A250:D255"/>
    <mergeCell ref="A256:D256"/>
    <mergeCell ref="A257:D257"/>
    <mergeCell ref="F247:I249"/>
    <mergeCell ref="F250:I255"/>
    <mergeCell ref="F256:I256"/>
    <mergeCell ref="F257:I257"/>
    <mergeCell ref="K247:N249"/>
    <mergeCell ref="K250:N255"/>
    <mergeCell ref="K256:N256"/>
    <mergeCell ref="K257:N257"/>
    <mergeCell ref="P247:S249"/>
    <mergeCell ref="P250:S255"/>
    <mergeCell ref="P256:S256"/>
    <mergeCell ref="P257:S257"/>
    <mergeCell ref="A259:D261"/>
    <mergeCell ref="A262:D267"/>
    <mergeCell ref="A268:D268"/>
    <mergeCell ref="A269:D269"/>
    <mergeCell ref="F259:I261"/>
    <mergeCell ref="F262:I267"/>
    <mergeCell ref="F268:I268"/>
    <mergeCell ref="F269:I269"/>
    <mergeCell ref="K259:N261"/>
    <mergeCell ref="K262:N267"/>
    <mergeCell ref="K268:N268"/>
    <mergeCell ref="K269:N269"/>
    <mergeCell ref="P259:S261"/>
    <mergeCell ref="P262:S267"/>
    <mergeCell ref="P268:S268"/>
    <mergeCell ref="P269:S269"/>
    <mergeCell ref="A271:D273"/>
    <mergeCell ref="A274:D279"/>
    <mergeCell ref="A280:D280"/>
    <mergeCell ref="A281:D281"/>
    <mergeCell ref="F271:I273"/>
    <mergeCell ref="F274:I279"/>
    <mergeCell ref="F280:I280"/>
    <mergeCell ref="F281:I281"/>
    <mergeCell ref="K271:N273"/>
    <mergeCell ref="K274:N279"/>
    <mergeCell ref="K280:N280"/>
    <mergeCell ref="K281:N281"/>
    <mergeCell ref="P271:S273"/>
    <mergeCell ref="P274:S279"/>
    <mergeCell ref="P280:S280"/>
    <mergeCell ref="P281:S281"/>
    <mergeCell ref="A283:D285"/>
    <mergeCell ref="A286:D291"/>
    <mergeCell ref="A292:D292"/>
    <mergeCell ref="A293:D293"/>
    <mergeCell ref="F283:I285"/>
    <mergeCell ref="F286:I291"/>
    <mergeCell ref="F292:I292"/>
    <mergeCell ref="F293:I293"/>
    <mergeCell ref="K283:N285"/>
    <mergeCell ref="K286:N291"/>
    <mergeCell ref="K292:N292"/>
    <mergeCell ref="K293:N293"/>
    <mergeCell ref="P283:S285"/>
    <mergeCell ref="P286:S291"/>
    <mergeCell ref="P292:S292"/>
    <mergeCell ref="P293:S293"/>
    <mergeCell ref="A295:D297"/>
    <mergeCell ref="A298:D303"/>
    <mergeCell ref="A304:D304"/>
    <mergeCell ref="A305:D305"/>
    <mergeCell ref="F295:I297"/>
    <mergeCell ref="F298:I303"/>
    <mergeCell ref="F304:I304"/>
    <mergeCell ref="F305:I305"/>
    <mergeCell ref="K295:N297"/>
    <mergeCell ref="K298:N303"/>
    <mergeCell ref="K304:N304"/>
    <mergeCell ref="K305:N305"/>
    <mergeCell ref="P295:S297"/>
    <mergeCell ref="P298:S303"/>
    <mergeCell ref="P304:S304"/>
    <mergeCell ref="P305:S305"/>
    <mergeCell ref="A310:S310"/>
    <mergeCell ref="A311:F311"/>
    <mergeCell ref="G311:L311"/>
    <mergeCell ref="M311:S311"/>
  </mergeCells>
  <hyperlinks>
    <hyperlink ref="A4" location="'Start Here'!A1" display="← Start Here"/>
    <hyperlink ref="F4" location="'The 100'!A1" display="The 100 →"/>
    <hyperlink ref="K4" location="'Methodology'!A1" display="Artwork notes →"/>
    <hyperlink ref="A311" r:id="rId1"/>
    <hyperlink ref="G311" r:id="rId2"/>
    <hyperlink ref="M311" r:id="rId3"/>
  </hyperlinks>
  <pageMargins left="0.3" right="0.3" top="0.4" bottom="0.4" header="0.15" footer="0.15"/>
  <pageSetup paperSize="9" fitToHeight="0" orientation="landscape"/>
  <headerFooter>
    <oddHeader>&amp;LPlay 100&amp;RUser-curated collection</oddHeader>
    <oddFooter>&amp;L&amp;8Curated by Leul Tewodros Agonafer
https://github.com/LeulTew/play-100&amp;C&amp;8https://www.linkedin.com/in/leul-t-agonafer-861bb3336/
https://t.me/fabbin&amp;R&amp;8&amp;P / &amp;N</oddFooter>
  </headerFooter>
  <rowBreaks count="12" manualBreakCount="12">
    <brk id="30" max="16383" man="1"/>
    <brk id="54" max="16383" man="1"/>
    <brk id="78" max="16383" man="1"/>
    <brk id="102" max="16383" man="1"/>
    <brk id="126" max="16383" man="1"/>
    <brk id="150" max="16383" man="1"/>
    <brk id="174" max="16383" man="1"/>
    <brk id="198" max="16383" man="1"/>
    <brk id="222" max="16383" man="1"/>
    <brk id="246" max="16383" man="1"/>
    <brk id="270" max="16383" man="1"/>
    <brk id="294" max="16383" man="1"/>
  </rowBreaks>
  <drawing r:id="rId4"/>
</worksheet>
</file>

<file path=xl/worksheets/sheet5.xml><?xml version="1.0" encoding="utf-8"?>
<worksheet xmlns="http://schemas.openxmlformats.org/spreadsheetml/2006/main" xmlns:r="http://schemas.openxmlformats.org/officeDocument/2006/relationships">
  <sheetPr>
    <tabColor rgb="FF18211C"/>
    <pageSetUpPr fitToPage="1"/>
  </sheetPr>
  <dimension ref="A1:O100"/>
  <sheetViews>
    <sheetView showGridLines="0" zoomScale="95" zoomScaleNormal="95" workbookViewId="0">
      <pane ySplit="6" topLeftCell="A7" activePane="bottomLeft" state="frozen"/>
      <selection pane="bottomLeft"/>
    </sheetView>
  </sheetViews>
  <sheetFormatPr defaultRowHeight="21" customHeight="1"/>
  <cols>
    <col min="1" max="3" width="11.7109375" style="1" customWidth="1"/>
    <col min="4" max="15" width="9.28515625" style="1" customWidth="1"/>
  </cols>
  <sheetData>
    <row r="1" spans="1:15" ht="44" customHeight="1">
      <c r="A1" s="18" t="s">
        <v>493</v>
      </c>
      <c r="B1" s="18"/>
      <c r="C1" s="18"/>
      <c r="D1" s="18"/>
      <c r="E1" s="18"/>
      <c r="F1" s="18"/>
      <c r="G1" s="18"/>
      <c r="H1" s="18"/>
      <c r="I1" s="18"/>
      <c r="J1" s="18"/>
      <c r="K1" s="18"/>
      <c r="L1" s="18"/>
      <c r="M1" s="18"/>
      <c r="N1" s="18"/>
      <c r="O1" s="18"/>
    </row>
    <row r="2" spans="1:15" ht="31" customHeight="1">
      <c r="A2" s="14" t="s">
        <v>494</v>
      </c>
      <c r="B2" s="14"/>
      <c r="C2" s="14"/>
      <c r="D2" s="14"/>
      <c r="E2" s="14"/>
      <c r="F2" s="14"/>
      <c r="G2" s="14"/>
      <c r="H2" s="14"/>
      <c r="I2" s="14"/>
      <c r="J2" s="14"/>
      <c r="K2" s="14"/>
      <c r="L2" s="14"/>
      <c r="M2" s="14"/>
      <c r="N2" s="14"/>
      <c r="O2" s="14"/>
    </row>
    <row r="3" spans="1:15" ht="21" customHeight="1">
      <c r="A3" s="1"/>
      <c r="B3" s="1"/>
      <c r="C3" s="1"/>
      <c r="D3" s="1"/>
      <c r="E3" s="1"/>
      <c r="F3" s="1"/>
      <c r="G3" s="1"/>
      <c r="H3" s="1"/>
      <c r="I3" s="1"/>
      <c r="J3" s="1"/>
      <c r="K3" s="1"/>
      <c r="L3" s="1"/>
      <c r="M3" s="1"/>
      <c r="N3" s="1"/>
      <c r="O3" s="1"/>
    </row>
    <row r="4" spans="1:15" ht="21" customHeight="1">
      <c r="A4" s="19" t="s">
        <v>2</v>
      </c>
      <c r="B4" s="1"/>
      <c r="C4" s="1"/>
      <c r="D4" s="1"/>
      <c r="E4" s="19" t="s">
        <v>315</v>
      </c>
      <c r="F4" s="1"/>
      <c r="G4" s="1"/>
      <c r="H4" s="1"/>
      <c r="I4" s="1"/>
      <c r="J4" s="1"/>
      <c r="K4" s="1"/>
      <c r="L4" s="1"/>
      <c r="M4" s="1"/>
      <c r="N4" s="1"/>
      <c r="O4" s="1"/>
    </row>
    <row r="5" spans="1:15" ht="21" customHeight="1">
      <c r="A5" s="1"/>
      <c r="B5" s="1"/>
      <c r="C5" s="1"/>
      <c r="D5" s="1"/>
      <c r="E5" s="1"/>
      <c r="F5" s="1"/>
      <c r="G5" s="1"/>
      <c r="H5" s="1"/>
      <c r="I5" s="1"/>
      <c r="J5" s="1"/>
      <c r="K5" s="1"/>
      <c r="L5" s="1"/>
      <c r="M5" s="1"/>
      <c r="N5" s="1"/>
      <c r="O5" s="1"/>
    </row>
    <row r="6" spans="1:15" ht="21" customHeight="1">
      <c r="A6" s="1"/>
      <c r="B6" s="1"/>
      <c r="C6" s="1"/>
      <c r="D6" s="1"/>
      <c r="E6" s="1"/>
      <c r="F6" s="1"/>
      <c r="G6" s="1"/>
      <c r="H6" s="1"/>
      <c r="I6" s="1"/>
      <c r="J6" s="1"/>
      <c r="K6" s="1"/>
      <c r="L6" s="1"/>
      <c r="M6" s="1"/>
      <c r="N6" s="1"/>
      <c r="O6" s="1"/>
    </row>
    <row r="7" spans="1:15" ht="21" customHeight="1">
      <c r="A7" s="42" t="s">
        <v>495</v>
      </c>
      <c r="B7" s="42"/>
      <c r="C7" s="42"/>
      <c r="D7" s="43" t="s">
        <v>491</v>
      </c>
      <c r="E7" s="43"/>
      <c r="F7" s="43"/>
      <c r="G7" s="43"/>
      <c r="H7" s="43"/>
      <c r="I7" s="43"/>
      <c r="J7" s="43"/>
      <c r="K7" s="43"/>
      <c r="L7" s="43"/>
      <c r="M7" s="43"/>
      <c r="N7" s="43"/>
      <c r="O7" s="43"/>
    </row>
    <row r="8" spans="1:15" ht="21" customHeight="1">
      <c r="A8" s="42"/>
      <c r="B8" s="42"/>
      <c r="C8" s="42"/>
      <c r="D8" s="43"/>
      <c r="E8" s="43"/>
      <c r="F8" s="43"/>
      <c r="G8" s="43"/>
      <c r="H8" s="43"/>
      <c r="I8" s="43"/>
      <c r="J8" s="43"/>
      <c r="K8" s="43"/>
      <c r="L8" s="43"/>
      <c r="M8" s="43"/>
      <c r="N8" s="43"/>
      <c r="O8" s="43"/>
    </row>
    <row r="9" spans="1:15" ht="21" customHeight="1">
      <c r="A9" s="42"/>
      <c r="B9" s="42"/>
      <c r="C9" s="42"/>
      <c r="D9" s="43"/>
      <c r="E9" s="43"/>
      <c r="F9" s="43"/>
      <c r="G9" s="43"/>
      <c r="H9" s="43"/>
      <c r="I9" s="43"/>
      <c r="J9" s="43"/>
      <c r="K9" s="43"/>
      <c r="L9" s="43"/>
      <c r="M9" s="43"/>
      <c r="N9" s="43"/>
      <c r="O9" s="43"/>
    </row>
    <row r="10" spans="1:15" ht="21" customHeight="1">
      <c r="A10" s="42"/>
      <c r="B10" s="42"/>
      <c r="C10" s="42"/>
      <c r="D10" s="43"/>
      <c r="E10" s="43"/>
      <c r="F10" s="43"/>
      <c r="G10" s="43"/>
      <c r="H10" s="43"/>
      <c r="I10" s="43"/>
      <c r="J10" s="43"/>
      <c r="K10" s="43"/>
      <c r="L10" s="43"/>
      <c r="M10" s="43"/>
      <c r="N10" s="43"/>
      <c r="O10" s="43"/>
    </row>
    <row r="11" spans="1:15" ht="21" customHeight="1">
      <c r="A11" s="1"/>
      <c r="B11" s="1"/>
      <c r="C11" s="1"/>
      <c r="D11" s="1"/>
      <c r="E11" s="1"/>
      <c r="F11" s="1"/>
      <c r="G11" s="1"/>
      <c r="H11" s="1"/>
      <c r="I11" s="1"/>
      <c r="J11" s="1"/>
      <c r="K11" s="1"/>
      <c r="L11" s="1"/>
      <c r="M11" s="1"/>
      <c r="N11" s="1"/>
      <c r="O11" s="1"/>
    </row>
    <row r="12" spans="1:15" ht="21" customHeight="1">
      <c r="A12" s="42" t="s">
        <v>496</v>
      </c>
      <c r="B12" s="42"/>
      <c r="C12" s="42"/>
      <c r="D12" s="43" t="s">
        <v>497</v>
      </c>
      <c r="E12" s="43"/>
      <c r="F12" s="43"/>
      <c r="G12" s="43"/>
      <c r="H12" s="43"/>
      <c r="I12" s="43"/>
      <c r="J12" s="43"/>
      <c r="K12" s="43"/>
      <c r="L12" s="43"/>
      <c r="M12" s="43"/>
      <c r="N12" s="43"/>
      <c r="O12" s="43"/>
    </row>
    <row r="13" spans="1:15" ht="21" customHeight="1">
      <c r="A13" s="42"/>
      <c r="B13" s="42"/>
      <c r="C13" s="42"/>
      <c r="D13" s="43"/>
      <c r="E13" s="43"/>
      <c r="F13" s="43"/>
      <c r="G13" s="43"/>
      <c r="H13" s="43"/>
      <c r="I13" s="43"/>
      <c r="J13" s="43"/>
      <c r="K13" s="43"/>
      <c r="L13" s="43"/>
      <c r="M13" s="43"/>
      <c r="N13" s="43"/>
      <c r="O13" s="43"/>
    </row>
    <row r="14" spans="1:15" ht="21" customHeight="1">
      <c r="A14" s="42"/>
      <c r="B14" s="42"/>
      <c r="C14" s="42"/>
      <c r="D14" s="43"/>
      <c r="E14" s="43"/>
      <c r="F14" s="43"/>
      <c r="G14" s="43"/>
      <c r="H14" s="43"/>
      <c r="I14" s="43"/>
      <c r="J14" s="43"/>
      <c r="K14" s="43"/>
      <c r="L14" s="43"/>
      <c r="M14" s="43"/>
      <c r="N14" s="43"/>
      <c r="O14" s="43"/>
    </row>
    <row r="15" spans="1:15" ht="21" customHeight="1">
      <c r="A15" s="42"/>
      <c r="B15" s="42"/>
      <c r="C15" s="42"/>
      <c r="D15" s="43"/>
      <c r="E15" s="43"/>
      <c r="F15" s="43"/>
      <c r="G15" s="43"/>
      <c r="H15" s="43"/>
      <c r="I15" s="43"/>
      <c r="J15" s="43"/>
      <c r="K15" s="43"/>
      <c r="L15" s="43"/>
      <c r="M15" s="43"/>
      <c r="N15" s="43"/>
      <c r="O15" s="43"/>
    </row>
    <row r="16" spans="1:15" ht="21" customHeight="1">
      <c r="A16" s="1"/>
      <c r="B16" s="1"/>
      <c r="C16" s="1"/>
      <c r="D16" s="1"/>
      <c r="E16" s="1"/>
      <c r="F16" s="1"/>
      <c r="G16" s="1"/>
      <c r="H16" s="1"/>
      <c r="I16" s="1"/>
      <c r="J16" s="1"/>
      <c r="K16" s="1"/>
      <c r="L16" s="1"/>
      <c r="M16" s="1"/>
      <c r="N16" s="1"/>
      <c r="O16" s="1"/>
    </row>
    <row r="17" spans="1:15" ht="21" customHeight="1">
      <c r="A17" s="42" t="s">
        <v>498</v>
      </c>
      <c r="B17" s="42"/>
      <c r="C17" s="42"/>
      <c r="D17" s="43" t="s">
        <v>499</v>
      </c>
      <c r="E17" s="43"/>
      <c r="F17" s="43"/>
      <c r="G17" s="43"/>
      <c r="H17" s="43"/>
      <c r="I17" s="43"/>
      <c r="J17" s="43"/>
      <c r="K17" s="43"/>
      <c r="L17" s="43"/>
      <c r="M17" s="43"/>
      <c r="N17" s="43"/>
      <c r="O17" s="43"/>
    </row>
    <row r="18" spans="1:15" ht="21" customHeight="1">
      <c r="A18" s="42"/>
      <c r="B18" s="42"/>
      <c r="C18" s="42"/>
      <c r="D18" s="43"/>
      <c r="E18" s="43"/>
      <c r="F18" s="43"/>
      <c r="G18" s="43"/>
      <c r="H18" s="43"/>
      <c r="I18" s="43"/>
      <c r="J18" s="43"/>
      <c r="K18" s="43"/>
      <c r="L18" s="43"/>
      <c r="M18" s="43"/>
      <c r="N18" s="43"/>
      <c r="O18" s="43"/>
    </row>
    <row r="19" spans="1:15" ht="21" customHeight="1">
      <c r="A19" s="42"/>
      <c r="B19" s="42"/>
      <c r="C19" s="42"/>
      <c r="D19" s="43"/>
      <c r="E19" s="43"/>
      <c r="F19" s="43"/>
      <c r="G19" s="43"/>
      <c r="H19" s="43"/>
      <c r="I19" s="43"/>
      <c r="J19" s="43"/>
      <c r="K19" s="43"/>
      <c r="L19" s="43"/>
      <c r="M19" s="43"/>
      <c r="N19" s="43"/>
      <c r="O19" s="43"/>
    </row>
    <row r="20" spans="1:15" ht="21" customHeight="1">
      <c r="A20" s="42"/>
      <c r="B20" s="42"/>
      <c r="C20" s="42"/>
      <c r="D20" s="43"/>
      <c r="E20" s="43"/>
      <c r="F20" s="43"/>
      <c r="G20" s="43"/>
      <c r="H20" s="43"/>
      <c r="I20" s="43"/>
      <c r="J20" s="43"/>
      <c r="K20" s="43"/>
      <c r="L20" s="43"/>
      <c r="M20" s="43"/>
      <c r="N20" s="43"/>
      <c r="O20" s="43"/>
    </row>
    <row r="21" spans="1:15" ht="21" customHeight="1">
      <c r="A21" s="1"/>
      <c r="B21" s="1"/>
      <c r="C21" s="1"/>
      <c r="D21" s="1"/>
      <c r="E21" s="1"/>
      <c r="F21" s="1"/>
      <c r="G21" s="1"/>
      <c r="H21" s="1"/>
      <c r="I21" s="1"/>
      <c r="J21" s="1"/>
      <c r="K21" s="1"/>
      <c r="L21" s="1"/>
      <c r="M21" s="1"/>
      <c r="N21" s="1"/>
      <c r="O21" s="1"/>
    </row>
    <row r="22" spans="1:15" ht="21" customHeight="1">
      <c r="A22" s="42" t="s">
        <v>500</v>
      </c>
      <c r="B22" s="42"/>
      <c r="C22" s="42"/>
      <c r="D22" s="43" t="s">
        <v>501</v>
      </c>
      <c r="E22" s="43"/>
      <c r="F22" s="43"/>
      <c r="G22" s="43"/>
      <c r="H22" s="43"/>
      <c r="I22" s="43"/>
      <c r="J22" s="43"/>
      <c r="K22" s="43"/>
      <c r="L22" s="43"/>
      <c r="M22" s="43"/>
      <c r="N22" s="43"/>
      <c r="O22" s="43"/>
    </row>
    <row r="23" spans="1:15" ht="21" customHeight="1">
      <c r="A23" s="42"/>
      <c r="B23" s="42"/>
      <c r="C23" s="42"/>
      <c r="D23" s="43"/>
      <c r="E23" s="43"/>
      <c r="F23" s="43"/>
      <c r="G23" s="43"/>
      <c r="H23" s="43"/>
      <c r="I23" s="43"/>
      <c r="J23" s="43"/>
      <c r="K23" s="43"/>
      <c r="L23" s="43"/>
      <c r="M23" s="43"/>
      <c r="N23" s="43"/>
      <c r="O23" s="43"/>
    </row>
    <row r="24" spans="1:15" ht="21" customHeight="1">
      <c r="A24" s="42"/>
      <c r="B24" s="42"/>
      <c r="C24" s="42"/>
      <c r="D24" s="43"/>
      <c r="E24" s="43"/>
      <c r="F24" s="43"/>
      <c r="G24" s="43"/>
      <c r="H24" s="43"/>
      <c r="I24" s="43"/>
      <c r="J24" s="43"/>
      <c r="K24" s="43"/>
      <c r="L24" s="43"/>
      <c r="M24" s="43"/>
      <c r="N24" s="43"/>
      <c r="O24" s="43"/>
    </row>
    <row r="25" spans="1:15" ht="21" customHeight="1">
      <c r="A25" s="42"/>
      <c r="B25" s="42"/>
      <c r="C25" s="42"/>
      <c r="D25" s="43"/>
      <c r="E25" s="43"/>
      <c r="F25" s="43"/>
      <c r="G25" s="43"/>
      <c r="H25" s="43"/>
      <c r="I25" s="43"/>
      <c r="J25" s="43"/>
      <c r="K25" s="43"/>
      <c r="L25" s="43"/>
      <c r="M25" s="43"/>
      <c r="N25" s="43"/>
      <c r="O25" s="43"/>
    </row>
    <row r="26" spans="1:15" ht="21" customHeight="1">
      <c r="A26" s="1"/>
      <c r="B26" s="1"/>
      <c r="C26" s="1"/>
      <c r="D26" s="1"/>
      <c r="E26" s="1"/>
      <c r="F26" s="1"/>
      <c r="G26" s="1"/>
      <c r="H26" s="1"/>
      <c r="I26" s="1"/>
      <c r="J26" s="1"/>
      <c r="K26" s="1"/>
      <c r="L26" s="1"/>
      <c r="M26" s="1"/>
      <c r="N26" s="1"/>
      <c r="O26" s="1"/>
    </row>
    <row r="27" spans="1:15" ht="21" customHeight="1">
      <c r="A27" s="42" t="s">
        <v>502</v>
      </c>
      <c r="B27" s="42"/>
      <c r="C27" s="42"/>
      <c r="D27" s="43" t="s">
        <v>503</v>
      </c>
      <c r="E27" s="43"/>
      <c r="F27" s="43"/>
      <c r="G27" s="43"/>
      <c r="H27" s="43"/>
      <c r="I27" s="43"/>
      <c r="J27" s="43"/>
      <c r="K27" s="43"/>
      <c r="L27" s="43"/>
      <c r="M27" s="43"/>
      <c r="N27" s="43"/>
      <c r="O27" s="43"/>
    </row>
    <row r="28" spans="1:15" ht="21" customHeight="1">
      <c r="A28" s="42"/>
      <c r="B28" s="42"/>
      <c r="C28" s="42"/>
      <c r="D28" s="43"/>
      <c r="E28" s="43"/>
      <c r="F28" s="43"/>
      <c r="G28" s="43"/>
      <c r="H28" s="43"/>
      <c r="I28" s="43"/>
      <c r="J28" s="43"/>
      <c r="K28" s="43"/>
      <c r="L28" s="43"/>
      <c r="M28" s="43"/>
      <c r="N28" s="43"/>
      <c r="O28" s="43"/>
    </row>
    <row r="29" spans="1:15" ht="21" customHeight="1">
      <c r="A29" s="42"/>
      <c r="B29" s="42"/>
      <c r="C29" s="42"/>
      <c r="D29" s="43"/>
      <c r="E29" s="43"/>
      <c r="F29" s="43"/>
      <c r="G29" s="43"/>
      <c r="H29" s="43"/>
      <c r="I29" s="43"/>
      <c r="J29" s="43"/>
      <c r="K29" s="43"/>
      <c r="L29" s="43"/>
      <c r="M29" s="43"/>
      <c r="N29" s="43"/>
      <c r="O29" s="43"/>
    </row>
    <row r="30" spans="1:15" ht="21" customHeight="1">
      <c r="A30" s="42"/>
      <c r="B30" s="42"/>
      <c r="C30" s="42"/>
      <c r="D30" s="43"/>
      <c r="E30" s="43"/>
      <c r="F30" s="43"/>
      <c r="G30" s="43"/>
      <c r="H30" s="43"/>
      <c r="I30" s="43"/>
      <c r="J30" s="43"/>
      <c r="K30" s="43"/>
      <c r="L30" s="43"/>
      <c r="M30" s="43"/>
      <c r="N30" s="43"/>
      <c r="O30" s="43"/>
    </row>
    <row r="31" spans="1:15" ht="21" customHeight="1">
      <c r="A31" s="1"/>
      <c r="B31" s="1"/>
      <c r="C31" s="1"/>
      <c r="D31" s="1"/>
      <c r="E31" s="1"/>
      <c r="F31" s="1"/>
      <c r="G31" s="1"/>
      <c r="H31" s="1"/>
      <c r="I31" s="1"/>
      <c r="J31" s="1"/>
      <c r="K31" s="1"/>
      <c r="L31" s="1"/>
      <c r="M31" s="1"/>
      <c r="N31" s="1"/>
      <c r="O31" s="1"/>
    </row>
    <row r="32" spans="1:15" ht="21" customHeight="1">
      <c r="A32" s="42" t="s">
        <v>504</v>
      </c>
      <c r="B32" s="42"/>
      <c r="C32" s="42"/>
      <c r="D32" s="43" t="s">
        <v>505</v>
      </c>
      <c r="E32" s="43"/>
      <c r="F32" s="43"/>
      <c r="G32" s="43"/>
      <c r="H32" s="43"/>
      <c r="I32" s="43"/>
      <c r="J32" s="43"/>
      <c r="K32" s="43"/>
      <c r="L32" s="43"/>
      <c r="M32" s="43"/>
      <c r="N32" s="43"/>
      <c r="O32" s="43"/>
    </row>
    <row r="33" spans="1:15" ht="21" customHeight="1">
      <c r="A33" s="42"/>
      <c r="B33" s="42"/>
      <c r="C33" s="42"/>
      <c r="D33" s="43"/>
      <c r="E33" s="43"/>
      <c r="F33" s="43"/>
      <c r="G33" s="43"/>
      <c r="H33" s="43"/>
      <c r="I33" s="43"/>
      <c r="J33" s="43"/>
      <c r="K33" s="43"/>
      <c r="L33" s="43"/>
      <c r="M33" s="43"/>
      <c r="N33" s="43"/>
      <c r="O33" s="43"/>
    </row>
    <row r="34" spans="1:15" ht="21" customHeight="1">
      <c r="A34" s="42"/>
      <c r="B34" s="42"/>
      <c r="C34" s="42"/>
      <c r="D34" s="43"/>
      <c r="E34" s="43"/>
      <c r="F34" s="43"/>
      <c r="G34" s="43"/>
      <c r="H34" s="43"/>
      <c r="I34" s="43"/>
      <c r="J34" s="43"/>
      <c r="K34" s="43"/>
      <c r="L34" s="43"/>
      <c r="M34" s="43"/>
      <c r="N34" s="43"/>
      <c r="O34" s="43"/>
    </row>
    <row r="35" spans="1:15" ht="21" customHeight="1">
      <c r="A35" s="42"/>
      <c r="B35" s="42"/>
      <c r="C35" s="42"/>
      <c r="D35" s="43"/>
      <c r="E35" s="43"/>
      <c r="F35" s="43"/>
      <c r="G35" s="43"/>
      <c r="H35" s="43"/>
      <c r="I35" s="43"/>
      <c r="J35" s="43"/>
      <c r="K35" s="43"/>
      <c r="L35" s="43"/>
      <c r="M35" s="43"/>
      <c r="N35" s="43"/>
      <c r="O35" s="43"/>
    </row>
    <row r="36" spans="1:15" ht="21" customHeight="1">
      <c r="A36" s="1"/>
      <c r="B36" s="1"/>
      <c r="C36" s="1"/>
      <c r="D36" s="1"/>
      <c r="E36" s="1"/>
      <c r="F36" s="1"/>
      <c r="G36" s="1"/>
      <c r="H36" s="1"/>
      <c r="I36" s="1"/>
      <c r="J36" s="1"/>
      <c r="K36" s="1"/>
      <c r="L36" s="1"/>
      <c r="M36" s="1"/>
      <c r="N36" s="1"/>
      <c r="O36" s="1"/>
    </row>
    <row r="37" spans="1:15" ht="21" customHeight="1">
      <c r="A37" s="42" t="s">
        <v>506</v>
      </c>
      <c r="B37" s="42"/>
      <c r="C37" s="42"/>
      <c r="D37" s="43" t="s">
        <v>507</v>
      </c>
      <c r="E37" s="43"/>
      <c r="F37" s="43"/>
      <c r="G37" s="43"/>
      <c r="H37" s="43"/>
      <c r="I37" s="43"/>
      <c r="J37" s="43"/>
      <c r="K37" s="43"/>
      <c r="L37" s="43"/>
      <c r="M37" s="43"/>
      <c r="N37" s="43"/>
      <c r="O37" s="43"/>
    </row>
    <row r="38" spans="1:15" ht="21" customHeight="1">
      <c r="A38" s="42"/>
      <c r="B38" s="42"/>
      <c r="C38" s="42"/>
      <c r="D38" s="43"/>
      <c r="E38" s="43"/>
      <c r="F38" s="43"/>
      <c r="G38" s="43"/>
      <c r="H38" s="43"/>
      <c r="I38" s="43"/>
      <c r="J38" s="43"/>
      <c r="K38" s="43"/>
      <c r="L38" s="43"/>
      <c r="M38" s="43"/>
      <c r="N38" s="43"/>
      <c r="O38" s="43"/>
    </row>
    <row r="39" spans="1:15" ht="21" customHeight="1">
      <c r="A39" s="42"/>
      <c r="B39" s="42"/>
      <c r="C39" s="42"/>
      <c r="D39" s="43"/>
      <c r="E39" s="43"/>
      <c r="F39" s="43"/>
      <c r="G39" s="43"/>
      <c r="H39" s="43"/>
      <c r="I39" s="43"/>
      <c r="J39" s="43"/>
      <c r="K39" s="43"/>
      <c r="L39" s="43"/>
      <c r="M39" s="43"/>
      <c r="N39" s="43"/>
      <c r="O39" s="43"/>
    </row>
    <row r="40" spans="1:15" ht="21" customHeight="1">
      <c r="A40" s="42"/>
      <c r="B40" s="42"/>
      <c r="C40" s="42"/>
      <c r="D40" s="43"/>
      <c r="E40" s="43"/>
      <c r="F40" s="43"/>
      <c r="G40" s="43"/>
      <c r="H40" s="43"/>
      <c r="I40" s="43"/>
      <c r="J40" s="43"/>
      <c r="K40" s="43"/>
      <c r="L40" s="43"/>
      <c r="M40" s="43"/>
      <c r="N40" s="43"/>
      <c r="O40" s="43"/>
    </row>
    <row r="41" spans="1:15" ht="21" customHeight="1">
      <c r="A41" s="1"/>
      <c r="B41" s="1"/>
      <c r="C41" s="1"/>
      <c r="D41" s="1"/>
      <c r="E41" s="1"/>
      <c r="F41" s="1"/>
      <c r="G41" s="1"/>
      <c r="H41" s="1"/>
      <c r="I41" s="1"/>
      <c r="J41" s="1"/>
      <c r="K41" s="1"/>
      <c r="L41" s="1"/>
      <c r="M41" s="1"/>
      <c r="N41" s="1"/>
      <c r="O41" s="1"/>
    </row>
    <row r="42" spans="1:15" ht="21" customHeight="1">
      <c r="A42" s="42" t="s">
        <v>508</v>
      </c>
      <c r="B42" s="42"/>
      <c r="C42" s="42"/>
      <c r="D42" s="43" t="s">
        <v>509</v>
      </c>
      <c r="E42" s="43"/>
      <c r="F42" s="43"/>
      <c r="G42" s="43"/>
      <c r="H42" s="43"/>
      <c r="I42" s="43"/>
      <c r="J42" s="43"/>
      <c r="K42" s="43"/>
      <c r="L42" s="43"/>
      <c r="M42" s="43"/>
      <c r="N42" s="43"/>
      <c r="O42" s="43"/>
    </row>
    <row r="43" spans="1:15" ht="21" customHeight="1">
      <c r="A43" s="42"/>
      <c r="B43" s="42"/>
      <c r="C43" s="42"/>
      <c r="D43" s="43"/>
      <c r="E43" s="43"/>
      <c r="F43" s="43"/>
      <c r="G43" s="43"/>
      <c r="H43" s="43"/>
      <c r="I43" s="43"/>
      <c r="J43" s="43"/>
      <c r="K43" s="43"/>
      <c r="L43" s="43"/>
      <c r="M43" s="43"/>
      <c r="N43" s="43"/>
      <c r="O43" s="43"/>
    </row>
    <row r="44" spans="1:15" ht="21" customHeight="1">
      <c r="A44" s="42"/>
      <c r="B44" s="42"/>
      <c r="C44" s="42"/>
      <c r="D44" s="43"/>
      <c r="E44" s="43"/>
      <c r="F44" s="43"/>
      <c r="G44" s="43"/>
      <c r="H44" s="43"/>
      <c r="I44" s="43"/>
      <c r="J44" s="43"/>
      <c r="K44" s="43"/>
      <c r="L44" s="43"/>
      <c r="M44" s="43"/>
      <c r="N44" s="43"/>
      <c r="O44" s="43"/>
    </row>
    <row r="45" spans="1:15" ht="21" customHeight="1">
      <c r="A45" s="42"/>
      <c r="B45" s="42"/>
      <c r="C45" s="42"/>
      <c r="D45" s="43"/>
      <c r="E45" s="43"/>
      <c r="F45" s="43"/>
      <c r="G45" s="43"/>
      <c r="H45" s="43"/>
      <c r="I45" s="43"/>
      <c r="J45" s="43"/>
      <c r="K45" s="43"/>
      <c r="L45" s="43"/>
      <c r="M45" s="43"/>
      <c r="N45" s="43"/>
      <c r="O45" s="43"/>
    </row>
    <row r="46" spans="1:15" ht="21" customHeight="1">
      <c r="A46" s="1"/>
      <c r="B46" s="1"/>
      <c r="C46" s="1"/>
      <c r="D46" s="1"/>
      <c r="E46" s="1"/>
      <c r="F46" s="1"/>
      <c r="G46" s="1"/>
      <c r="H46" s="1"/>
      <c r="I46" s="1"/>
      <c r="J46" s="1"/>
      <c r="K46" s="1"/>
      <c r="L46" s="1"/>
      <c r="M46" s="1"/>
      <c r="N46" s="1"/>
      <c r="O46" s="1"/>
    </row>
    <row r="47" spans="1:15" ht="21" customHeight="1">
      <c r="A47" s="42" t="s">
        <v>510</v>
      </c>
      <c r="B47" s="42"/>
      <c r="C47" s="42"/>
      <c r="D47" s="43" t="s">
        <v>511</v>
      </c>
      <c r="E47" s="43"/>
      <c r="F47" s="43"/>
      <c r="G47" s="43"/>
      <c r="H47" s="43"/>
      <c r="I47" s="43"/>
      <c r="J47" s="43"/>
      <c r="K47" s="43"/>
      <c r="L47" s="43"/>
      <c r="M47" s="43"/>
      <c r="N47" s="43"/>
      <c r="O47" s="43"/>
    </row>
    <row r="48" spans="1:15" ht="21" customHeight="1">
      <c r="A48" s="42"/>
      <c r="B48" s="42"/>
      <c r="C48" s="42"/>
      <c r="D48" s="43"/>
      <c r="E48" s="43"/>
      <c r="F48" s="43"/>
      <c r="G48" s="43"/>
      <c r="H48" s="43"/>
      <c r="I48" s="43"/>
      <c r="J48" s="43"/>
      <c r="K48" s="43"/>
      <c r="L48" s="43"/>
      <c r="M48" s="43"/>
      <c r="N48" s="43"/>
      <c r="O48" s="43"/>
    </row>
    <row r="49" spans="1:15" ht="21" customHeight="1">
      <c r="A49" s="42"/>
      <c r="B49" s="42"/>
      <c r="C49" s="42"/>
      <c r="D49" s="43"/>
      <c r="E49" s="43"/>
      <c r="F49" s="43"/>
      <c r="G49" s="43"/>
      <c r="H49" s="43"/>
      <c r="I49" s="43"/>
      <c r="J49" s="43"/>
      <c r="K49" s="43"/>
      <c r="L49" s="43"/>
      <c r="M49" s="43"/>
      <c r="N49" s="43"/>
      <c r="O49" s="43"/>
    </row>
    <row r="50" spans="1:15" ht="21" customHeight="1">
      <c r="A50" s="42"/>
      <c r="B50" s="42"/>
      <c r="C50" s="42"/>
      <c r="D50" s="43"/>
      <c r="E50" s="43"/>
      <c r="F50" s="43"/>
      <c r="G50" s="43"/>
      <c r="H50" s="43"/>
      <c r="I50" s="43"/>
      <c r="J50" s="43"/>
      <c r="K50" s="43"/>
      <c r="L50" s="43"/>
      <c r="M50" s="43"/>
      <c r="N50" s="43"/>
      <c r="O50" s="43"/>
    </row>
    <row r="51" spans="1:15" ht="21" customHeight="1">
      <c r="A51" s="1"/>
      <c r="B51" s="1"/>
      <c r="C51" s="1"/>
      <c r="D51" s="1"/>
      <c r="E51" s="1"/>
      <c r="F51" s="1"/>
      <c r="G51" s="1"/>
      <c r="H51" s="1"/>
      <c r="I51" s="1"/>
      <c r="J51" s="1"/>
      <c r="K51" s="1"/>
      <c r="L51" s="1"/>
      <c r="M51" s="1"/>
      <c r="N51" s="1"/>
      <c r="O51" s="1"/>
    </row>
    <row r="52" spans="1:15" ht="21" customHeight="1">
      <c r="A52" s="42" t="s">
        <v>512</v>
      </c>
      <c r="B52" s="42"/>
      <c r="C52" s="42"/>
      <c r="D52" s="43" t="s">
        <v>513</v>
      </c>
      <c r="E52" s="43"/>
      <c r="F52" s="43"/>
      <c r="G52" s="43"/>
      <c r="H52" s="43"/>
      <c r="I52" s="43"/>
      <c r="J52" s="43"/>
      <c r="K52" s="43"/>
      <c r="L52" s="43"/>
      <c r="M52" s="43"/>
      <c r="N52" s="43"/>
      <c r="O52" s="43"/>
    </row>
    <row r="53" spans="1:15" ht="21" customHeight="1">
      <c r="A53" s="42"/>
      <c r="B53" s="42"/>
      <c r="C53" s="42"/>
      <c r="D53" s="43"/>
      <c r="E53" s="43"/>
      <c r="F53" s="43"/>
      <c r="G53" s="43"/>
      <c r="H53" s="43"/>
      <c r="I53" s="43"/>
      <c r="J53" s="43"/>
      <c r="K53" s="43"/>
      <c r="L53" s="43"/>
      <c r="M53" s="43"/>
      <c r="N53" s="43"/>
      <c r="O53" s="43"/>
    </row>
    <row r="54" spans="1:15" ht="21" customHeight="1">
      <c r="A54" s="42"/>
      <c r="B54" s="42"/>
      <c r="C54" s="42"/>
      <c r="D54" s="43"/>
      <c r="E54" s="43"/>
      <c r="F54" s="43"/>
      <c r="G54" s="43"/>
      <c r="H54" s="43"/>
      <c r="I54" s="43"/>
      <c r="J54" s="43"/>
      <c r="K54" s="43"/>
      <c r="L54" s="43"/>
      <c r="M54" s="43"/>
      <c r="N54" s="43"/>
      <c r="O54" s="43"/>
    </row>
    <row r="55" spans="1:15" ht="21" customHeight="1">
      <c r="A55" s="42"/>
      <c r="B55" s="42"/>
      <c r="C55" s="42"/>
      <c r="D55" s="43"/>
      <c r="E55" s="43"/>
      <c r="F55" s="43"/>
      <c r="G55" s="43"/>
      <c r="H55" s="43"/>
      <c r="I55" s="43"/>
      <c r="J55" s="43"/>
      <c r="K55" s="43"/>
      <c r="L55" s="43"/>
      <c r="M55" s="43"/>
      <c r="N55" s="43"/>
      <c r="O55" s="43"/>
    </row>
    <row r="56" spans="1:15" ht="21" customHeight="1">
      <c r="A56" s="1"/>
      <c r="B56" s="1"/>
      <c r="C56" s="1"/>
      <c r="D56" s="1"/>
      <c r="E56" s="1"/>
      <c r="F56" s="1"/>
      <c r="G56" s="1"/>
      <c r="H56" s="1"/>
      <c r="I56" s="1"/>
      <c r="J56" s="1"/>
      <c r="K56" s="1"/>
      <c r="L56" s="1"/>
      <c r="M56" s="1"/>
      <c r="N56" s="1"/>
      <c r="O56" s="1"/>
    </row>
    <row r="57" spans="1:15" ht="21" customHeight="1">
      <c r="A57" s="42" t="s">
        <v>514</v>
      </c>
      <c r="B57" s="42"/>
      <c r="C57" s="42"/>
      <c r="D57" s="43" t="s">
        <v>515</v>
      </c>
      <c r="E57" s="43"/>
      <c r="F57" s="43"/>
      <c r="G57" s="43"/>
      <c r="H57" s="43"/>
      <c r="I57" s="43"/>
      <c r="J57" s="43"/>
      <c r="K57" s="43"/>
      <c r="L57" s="43"/>
      <c r="M57" s="43"/>
      <c r="N57" s="43"/>
      <c r="O57" s="43"/>
    </row>
    <row r="58" spans="1:15" ht="21" customHeight="1">
      <c r="A58" s="42"/>
      <c r="B58" s="42"/>
      <c r="C58" s="42"/>
      <c r="D58" s="43"/>
      <c r="E58" s="43"/>
      <c r="F58" s="43"/>
      <c r="G58" s="43"/>
      <c r="H58" s="43"/>
      <c r="I58" s="43"/>
      <c r="J58" s="43"/>
      <c r="K58" s="43"/>
      <c r="L58" s="43"/>
      <c r="M58" s="43"/>
      <c r="N58" s="43"/>
      <c r="O58" s="43"/>
    </row>
    <row r="59" spans="1:15" ht="21" customHeight="1">
      <c r="A59" s="42"/>
      <c r="B59" s="42"/>
      <c r="C59" s="42"/>
      <c r="D59" s="43"/>
      <c r="E59" s="43"/>
      <c r="F59" s="43"/>
      <c r="G59" s="43"/>
      <c r="H59" s="43"/>
      <c r="I59" s="43"/>
      <c r="J59" s="43"/>
      <c r="K59" s="43"/>
      <c r="L59" s="43"/>
      <c r="M59" s="43"/>
      <c r="N59" s="43"/>
      <c r="O59" s="43"/>
    </row>
    <row r="60" spans="1:15" ht="21" customHeight="1">
      <c r="A60" s="42"/>
      <c r="B60" s="42"/>
      <c r="C60" s="42"/>
      <c r="D60" s="43"/>
      <c r="E60" s="43"/>
      <c r="F60" s="43"/>
      <c r="G60" s="43"/>
      <c r="H60" s="43"/>
      <c r="I60" s="43"/>
      <c r="J60" s="43"/>
      <c r="K60" s="43"/>
      <c r="L60" s="43"/>
      <c r="M60" s="43"/>
      <c r="N60" s="43"/>
      <c r="O60" s="43"/>
    </row>
    <row r="61" spans="1:15" ht="21" customHeight="1">
      <c r="A61" s="1"/>
      <c r="B61" s="1"/>
      <c r="C61" s="1"/>
      <c r="D61" s="1"/>
      <c r="E61" s="1"/>
      <c r="F61" s="1"/>
      <c r="G61" s="1"/>
      <c r="H61" s="1"/>
      <c r="I61" s="1"/>
      <c r="J61" s="1"/>
      <c r="K61" s="1"/>
      <c r="L61" s="1"/>
      <c r="M61" s="1"/>
      <c r="N61" s="1"/>
      <c r="O61" s="1"/>
    </row>
    <row r="62" spans="1:15" ht="21" customHeight="1">
      <c r="A62" s="42" t="s">
        <v>516</v>
      </c>
      <c r="B62" s="42"/>
      <c r="C62" s="42"/>
      <c r="D62" s="43" t="s">
        <v>517</v>
      </c>
      <c r="E62" s="43"/>
      <c r="F62" s="43"/>
      <c r="G62" s="43"/>
      <c r="H62" s="43"/>
      <c r="I62" s="43"/>
      <c r="J62" s="43"/>
      <c r="K62" s="43"/>
      <c r="L62" s="43"/>
      <c r="M62" s="43"/>
      <c r="N62" s="43"/>
      <c r="O62" s="43"/>
    </row>
    <row r="63" spans="1:15" ht="21" customHeight="1">
      <c r="A63" s="42"/>
      <c r="B63" s="42"/>
      <c r="C63" s="42"/>
      <c r="D63" s="43"/>
      <c r="E63" s="43"/>
      <c r="F63" s="43"/>
      <c r="G63" s="43"/>
      <c r="H63" s="43"/>
      <c r="I63" s="43"/>
      <c r="J63" s="43"/>
      <c r="K63" s="43"/>
      <c r="L63" s="43"/>
      <c r="M63" s="43"/>
      <c r="N63" s="43"/>
      <c r="O63" s="43"/>
    </row>
    <row r="64" spans="1:15" ht="21" customHeight="1">
      <c r="A64" s="42"/>
      <c r="B64" s="42"/>
      <c r="C64" s="42"/>
      <c r="D64" s="43"/>
      <c r="E64" s="43"/>
      <c r="F64" s="43"/>
      <c r="G64" s="43"/>
      <c r="H64" s="43"/>
      <c r="I64" s="43"/>
      <c r="J64" s="43"/>
      <c r="K64" s="43"/>
      <c r="L64" s="43"/>
      <c r="M64" s="43"/>
      <c r="N64" s="43"/>
      <c r="O64" s="43"/>
    </row>
    <row r="65" spans="1:15" ht="21" customHeight="1">
      <c r="A65" s="42"/>
      <c r="B65" s="42"/>
      <c r="C65" s="42"/>
      <c r="D65" s="43"/>
      <c r="E65" s="43"/>
      <c r="F65" s="43"/>
      <c r="G65" s="43"/>
      <c r="H65" s="43"/>
      <c r="I65" s="43"/>
      <c r="J65" s="43"/>
      <c r="K65" s="43"/>
      <c r="L65" s="43"/>
      <c r="M65" s="43"/>
      <c r="N65" s="43"/>
      <c r="O65" s="43"/>
    </row>
    <row r="66" spans="1:15" ht="21" customHeight="1">
      <c r="A66" s="1"/>
      <c r="B66" s="1"/>
      <c r="C66" s="1"/>
      <c r="D66" s="1"/>
      <c r="E66" s="1"/>
      <c r="F66" s="1"/>
      <c r="G66" s="1"/>
      <c r="H66" s="1"/>
      <c r="I66" s="1"/>
      <c r="J66" s="1"/>
      <c r="K66" s="1"/>
      <c r="L66" s="1"/>
      <c r="M66" s="1"/>
      <c r="N66" s="1"/>
      <c r="O66" s="1"/>
    </row>
    <row r="67" spans="1:15" ht="21" customHeight="1">
      <c r="A67" s="42" t="s">
        <v>518</v>
      </c>
      <c r="B67" s="42"/>
      <c r="C67" s="42"/>
      <c r="D67" s="43" t="s">
        <v>519</v>
      </c>
      <c r="E67" s="43"/>
      <c r="F67" s="43"/>
      <c r="G67" s="43"/>
      <c r="H67" s="43"/>
      <c r="I67" s="43"/>
      <c r="J67" s="43"/>
      <c r="K67" s="43"/>
      <c r="L67" s="43"/>
      <c r="M67" s="43"/>
      <c r="N67" s="43"/>
      <c r="O67" s="43"/>
    </row>
    <row r="68" spans="1:15" ht="21" customHeight="1">
      <c r="A68" s="42"/>
      <c r="B68" s="42"/>
      <c r="C68" s="42"/>
      <c r="D68" s="43"/>
      <c r="E68" s="43"/>
      <c r="F68" s="43"/>
      <c r="G68" s="43"/>
      <c r="H68" s="43"/>
      <c r="I68" s="43"/>
      <c r="J68" s="43"/>
      <c r="K68" s="43"/>
      <c r="L68" s="43"/>
      <c r="M68" s="43"/>
      <c r="N68" s="43"/>
      <c r="O68" s="43"/>
    </row>
    <row r="69" spans="1:15" ht="21" customHeight="1">
      <c r="A69" s="42"/>
      <c r="B69" s="42"/>
      <c r="C69" s="42"/>
      <c r="D69" s="43"/>
      <c r="E69" s="43"/>
      <c r="F69" s="43"/>
      <c r="G69" s="43"/>
      <c r="H69" s="43"/>
      <c r="I69" s="43"/>
      <c r="J69" s="43"/>
      <c r="K69" s="43"/>
      <c r="L69" s="43"/>
      <c r="M69" s="43"/>
      <c r="N69" s="43"/>
      <c r="O69" s="43"/>
    </row>
    <row r="70" spans="1:15" ht="21" customHeight="1">
      <c r="A70" s="42"/>
      <c r="B70" s="42"/>
      <c r="C70" s="42"/>
      <c r="D70" s="43"/>
      <c r="E70" s="43"/>
      <c r="F70" s="43"/>
      <c r="G70" s="43"/>
      <c r="H70" s="43"/>
      <c r="I70" s="43"/>
      <c r="J70" s="43"/>
      <c r="K70" s="43"/>
      <c r="L70" s="43"/>
      <c r="M70" s="43"/>
      <c r="N70" s="43"/>
      <c r="O70" s="43"/>
    </row>
    <row r="71" spans="1:15" ht="21" customHeight="1">
      <c r="A71" s="1"/>
      <c r="B71" s="1"/>
      <c r="C71" s="1"/>
      <c r="D71" s="1"/>
      <c r="E71" s="1"/>
      <c r="F71" s="1"/>
      <c r="G71" s="1"/>
      <c r="H71" s="1"/>
      <c r="I71" s="1"/>
      <c r="J71" s="1"/>
      <c r="K71" s="1"/>
      <c r="L71" s="1"/>
      <c r="M71" s="1"/>
      <c r="N71" s="1"/>
      <c r="O71" s="1"/>
    </row>
    <row r="72" spans="1:15" ht="21" customHeight="1">
      <c r="A72" s="42" t="s">
        <v>520</v>
      </c>
      <c r="B72" s="42"/>
      <c r="C72" s="42"/>
      <c r="D72" s="43" t="s">
        <v>521</v>
      </c>
      <c r="E72" s="43"/>
      <c r="F72" s="43"/>
      <c r="G72" s="43"/>
      <c r="H72" s="43"/>
      <c r="I72" s="43"/>
      <c r="J72" s="43"/>
      <c r="K72" s="43"/>
      <c r="L72" s="43"/>
      <c r="M72" s="43"/>
      <c r="N72" s="43"/>
      <c r="O72" s="43"/>
    </row>
    <row r="73" spans="1:15" ht="21" customHeight="1">
      <c r="A73" s="42"/>
      <c r="B73" s="42"/>
      <c r="C73" s="42"/>
      <c r="D73" s="43"/>
      <c r="E73" s="43"/>
      <c r="F73" s="43"/>
      <c r="G73" s="43"/>
      <c r="H73" s="43"/>
      <c r="I73" s="43"/>
      <c r="J73" s="43"/>
      <c r="K73" s="43"/>
      <c r="L73" s="43"/>
      <c r="M73" s="43"/>
      <c r="N73" s="43"/>
      <c r="O73" s="43"/>
    </row>
    <row r="74" spans="1:15" ht="21" customHeight="1">
      <c r="A74" s="42"/>
      <c r="B74" s="42"/>
      <c r="C74" s="42"/>
      <c r="D74" s="43"/>
      <c r="E74" s="43"/>
      <c r="F74" s="43"/>
      <c r="G74" s="43"/>
      <c r="H74" s="43"/>
      <c r="I74" s="43"/>
      <c r="J74" s="43"/>
      <c r="K74" s="43"/>
      <c r="L74" s="43"/>
      <c r="M74" s="43"/>
      <c r="N74" s="43"/>
      <c r="O74" s="43"/>
    </row>
    <row r="75" spans="1:15" ht="21" customHeight="1">
      <c r="A75" s="42"/>
      <c r="B75" s="42"/>
      <c r="C75" s="42"/>
      <c r="D75" s="43"/>
      <c r="E75" s="43"/>
      <c r="F75" s="43"/>
      <c r="G75" s="43"/>
      <c r="H75" s="43"/>
      <c r="I75" s="43"/>
      <c r="J75" s="43"/>
      <c r="K75" s="43"/>
      <c r="L75" s="43"/>
      <c r="M75" s="43"/>
      <c r="N75" s="43"/>
      <c r="O75" s="43"/>
    </row>
    <row r="76" spans="1:15" ht="21" customHeight="1">
      <c r="A76" s="1"/>
      <c r="B76" s="1"/>
      <c r="C76" s="1"/>
      <c r="D76" s="1"/>
      <c r="E76" s="1"/>
      <c r="F76" s="1"/>
      <c r="G76" s="1"/>
      <c r="H76" s="1"/>
      <c r="I76" s="1"/>
      <c r="J76" s="1"/>
      <c r="K76" s="1"/>
      <c r="L76" s="1"/>
      <c r="M76" s="1"/>
      <c r="N76" s="1"/>
      <c r="O76" s="1"/>
    </row>
    <row r="77" spans="1:15" ht="21" customHeight="1">
      <c r="A77" s="42" t="s">
        <v>522</v>
      </c>
      <c r="B77" s="42"/>
      <c r="C77" s="42"/>
      <c r="D77" s="43" t="s">
        <v>523</v>
      </c>
      <c r="E77" s="43"/>
      <c r="F77" s="43"/>
      <c r="G77" s="43"/>
      <c r="H77" s="43"/>
      <c r="I77" s="43"/>
      <c r="J77" s="43"/>
      <c r="K77" s="43"/>
      <c r="L77" s="43"/>
      <c r="M77" s="43"/>
      <c r="N77" s="43"/>
      <c r="O77" s="43"/>
    </row>
    <row r="78" spans="1:15" ht="21" customHeight="1">
      <c r="A78" s="42"/>
      <c r="B78" s="42"/>
      <c r="C78" s="42"/>
      <c r="D78" s="43"/>
      <c r="E78" s="43"/>
      <c r="F78" s="43"/>
      <c r="G78" s="43"/>
      <c r="H78" s="43"/>
      <c r="I78" s="43"/>
      <c r="J78" s="43"/>
      <c r="K78" s="43"/>
      <c r="L78" s="43"/>
      <c r="M78" s="43"/>
      <c r="N78" s="43"/>
      <c r="O78" s="43"/>
    </row>
    <row r="79" spans="1:15" ht="21" customHeight="1">
      <c r="A79" s="42"/>
      <c r="B79" s="42"/>
      <c r="C79" s="42"/>
      <c r="D79" s="43"/>
      <c r="E79" s="43"/>
      <c r="F79" s="43"/>
      <c r="G79" s="43"/>
      <c r="H79" s="43"/>
      <c r="I79" s="43"/>
      <c r="J79" s="43"/>
      <c r="K79" s="43"/>
      <c r="L79" s="43"/>
      <c r="M79" s="43"/>
      <c r="N79" s="43"/>
      <c r="O79" s="43"/>
    </row>
    <row r="80" spans="1:15" ht="21" customHeight="1">
      <c r="A80" s="42"/>
      <c r="B80" s="42"/>
      <c r="C80" s="42"/>
      <c r="D80" s="43"/>
      <c r="E80" s="43"/>
      <c r="F80" s="43"/>
      <c r="G80" s="43"/>
      <c r="H80" s="43"/>
      <c r="I80" s="43"/>
      <c r="J80" s="43"/>
      <c r="K80" s="43"/>
      <c r="L80" s="43"/>
      <c r="M80" s="43"/>
      <c r="N80" s="43"/>
      <c r="O80" s="43"/>
    </row>
    <row r="81" spans="1:15" ht="21" customHeight="1">
      <c r="A81" s="1"/>
      <c r="B81" s="1"/>
      <c r="C81" s="1"/>
      <c r="D81" s="1"/>
      <c r="E81" s="1"/>
      <c r="F81" s="1"/>
      <c r="G81" s="1"/>
      <c r="H81" s="1"/>
      <c r="I81" s="1"/>
      <c r="J81" s="1"/>
      <c r="K81" s="1"/>
      <c r="L81" s="1"/>
      <c r="M81" s="1"/>
      <c r="N81" s="1"/>
      <c r="O81" s="1"/>
    </row>
    <row r="82" spans="1:15" ht="21" customHeight="1">
      <c r="A82" s="42" t="s">
        <v>524</v>
      </c>
      <c r="B82" s="42"/>
      <c r="C82" s="42"/>
      <c r="D82" s="43" t="s">
        <v>525</v>
      </c>
      <c r="E82" s="43"/>
      <c r="F82" s="43"/>
      <c r="G82" s="43"/>
      <c r="H82" s="43"/>
      <c r="I82" s="43"/>
      <c r="J82" s="43"/>
      <c r="K82" s="43"/>
      <c r="L82" s="43"/>
      <c r="M82" s="43"/>
      <c r="N82" s="43"/>
      <c r="O82" s="43"/>
    </row>
    <row r="83" spans="1:15" ht="21" customHeight="1">
      <c r="A83" s="42"/>
      <c r="B83" s="42"/>
      <c r="C83" s="42"/>
      <c r="D83" s="43"/>
      <c r="E83" s="43"/>
      <c r="F83" s="43"/>
      <c r="G83" s="43"/>
      <c r="H83" s="43"/>
      <c r="I83" s="43"/>
      <c r="J83" s="43"/>
      <c r="K83" s="43"/>
      <c r="L83" s="43"/>
      <c r="M83" s="43"/>
      <c r="N83" s="43"/>
      <c r="O83" s="43"/>
    </row>
    <row r="84" spans="1:15" ht="21" customHeight="1">
      <c r="A84" s="42"/>
      <c r="B84" s="42"/>
      <c r="C84" s="42"/>
      <c r="D84" s="43"/>
      <c r="E84" s="43"/>
      <c r="F84" s="43"/>
      <c r="G84" s="43"/>
      <c r="H84" s="43"/>
      <c r="I84" s="43"/>
      <c r="J84" s="43"/>
      <c r="K84" s="43"/>
      <c r="L84" s="43"/>
      <c r="M84" s="43"/>
      <c r="N84" s="43"/>
      <c r="O84" s="43"/>
    </row>
    <row r="85" spans="1:15" ht="21" customHeight="1">
      <c r="A85" s="42"/>
      <c r="B85" s="42"/>
      <c r="C85" s="42"/>
      <c r="D85" s="43"/>
      <c r="E85" s="43"/>
      <c r="F85" s="43"/>
      <c r="G85" s="43"/>
      <c r="H85" s="43"/>
      <c r="I85" s="43"/>
      <c r="J85" s="43"/>
      <c r="K85" s="43"/>
      <c r="L85" s="43"/>
      <c r="M85" s="43"/>
      <c r="N85" s="43"/>
      <c r="O85" s="43"/>
    </row>
    <row r="86" spans="1:15" ht="21" customHeight="1">
      <c r="A86" s="1"/>
      <c r="B86" s="1"/>
      <c r="C86" s="1"/>
      <c r="D86" s="1"/>
      <c r="E86" s="1"/>
      <c r="F86" s="1"/>
      <c r="G86" s="1"/>
      <c r="H86" s="1"/>
      <c r="I86" s="1"/>
      <c r="J86" s="1"/>
      <c r="K86" s="1"/>
      <c r="L86" s="1"/>
      <c r="M86" s="1"/>
      <c r="N86" s="1"/>
      <c r="O86" s="1"/>
    </row>
    <row r="87" spans="1:15" ht="21" customHeight="1">
      <c r="A87" s="42" t="s">
        <v>526</v>
      </c>
      <c r="B87" s="42"/>
      <c r="C87" s="42"/>
      <c r="D87" s="43" t="s">
        <v>527</v>
      </c>
      <c r="E87" s="43"/>
      <c r="F87" s="43"/>
      <c r="G87" s="43"/>
      <c r="H87" s="43"/>
      <c r="I87" s="43"/>
      <c r="J87" s="43"/>
      <c r="K87" s="43"/>
      <c r="L87" s="43"/>
      <c r="M87" s="43"/>
      <c r="N87" s="43"/>
      <c r="O87" s="43"/>
    </row>
    <row r="88" spans="1:15" ht="21" customHeight="1">
      <c r="A88" s="42"/>
      <c r="B88" s="42"/>
      <c r="C88" s="42"/>
      <c r="D88" s="43"/>
      <c r="E88" s="43"/>
      <c r="F88" s="43"/>
      <c r="G88" s="43"/>
      <c r="H88" s="43"/>
      <c r="I88" s="43"/>
      <c r="J88" s="43"/>
      <c r="K88" s="43"/>
      <c r="L88" s="43"/>
      <c r="M88" s="43"/>
      <c r="N88" s="43"/>
      <c r="O88" s="43"/>
    </row>
    <row r="89" spans="1:15" ht="21" customHeight="1">
      <c r="A89" s="42"/>
      <c r="B89" s="42"/>
      <c r="C89" s="42"/>
      <c r="D89" s="43"/>
      <c r="E89" s="43"/>
      <c r="F89" s="43"/>
      <c r="G89" s="43"/>
      <c r="H89" s="43"/>
      <c r="I89" s="43"/>
      <c r="J89" s="43"/>
      <c r="K89" s="43"/>
      <c r="L89" s="43"/>
      <c r="M89" s="43"/>
      <c r="N89" s="43"/>
      <c r="O89" s="43"/>
    </row>
    <row r="90" spans="1:15" ht="21" customHeight="1">
      <c r="A90" s="42"/>
      <c r="B90" s="42"/>
      <c r="C90" s="42"/>
      <c r="D90" s="43"/>
      <c r="E90" s="43"/>
      <c r="F90" s="43"/>
      <c r="G90" s="43"/>
      <c r="H90" s="43"/>
      <c r="I90" s="43"/>
      <c r="J90" s="43"/>
      <c r="K90" s="43"/>
      <c r="L90" s="43"/>
      <c r="M90" s="43"/>
      <c r="N90" s="43"/>
      <c r="O90" s="43"/>
    </row>
    <row r="91" spans="1:15" ht="21" customHeight="1">
      <c r="A91" s="1"/>
      <c r="B91" s="1"/>
      <c r="C91" s="1"/>
      <c r="D91" s="1"/>
      <c r="E91" s="1"/>
      <c r="F91" s="1"/>
      <c r="G91" s="1"/>
      <c r="H91" s="1"/>
      <c r="I91" s="1"/>
      <c r="J91" s="1"/>
      <c r="K91" s="1"/>
      <c r="L91" s="1"/>
      <c r="M91" s="1"/>
      <c r="N91" s="1"/>
      <c r="O91" s="1"/>
    </row>
    <row r="92" spans="1:15" ht="21" customHeight="1">
      <c r="A92" s="42" t="s">
        <v>528</v>
      </c>
      <c r="B92" s="42"/>
      <c r="C92" s="42"/>
      <c r="D92" s="43" t="s">
        <v>529</v>
      </c>
      <c r="E92" s="43"/>
      <c r="F92" s="43"/>
      <c r="G92" s="43"/>
      <c r="H92" s="43"/>
      <c r="I92" s="43"/>
      <c r="J92" s="43"/>
      <c r="K92" s="43"/>
      <c r="L92" s="43"/>
      <c r="M92" s="43"/>
      <c r="N92" s="43"/>
      <c r="O92" s="43"/>
    </row>
    <row r="93" spans="1:15" ht="21" customHeight="1">
      <c r="A93" s="42"/>
      <c r="B93" s="42"/>
      <c r="C93" s="42"/>
      <c r="D93" s="43"/>
      <c r="E93" s="43"/>
      <c r="F93" s="43"/>
      <c r="G93" s="43"/>
      <c r="H93" s="43"/>
      <c r="I93" s="43"/>
      <c r="J93" s="43"/>
      <c r="K93" s="43"/>
      <c r="L93" s="43"/>
      <c r="M93" s="43"/>
      <c r="N93" s="43"/>
      <c r="O93" s="43"/>
    </row>
    <row r="94" spans="1:15" ht="21" customHeight="1">
      <c r="A94" s="42"/>
      <c r="B94" s="42"/>
      <c r="C94" s="42"/>
      <c r="D94" s="43"/>
      <c r="E94" s="43"/>
      <c r="F94" s="43"/>
      <c r="G94" s="43"/>
      <c r="H94" s="43"/>
      <c r="I94" s="43"/>
      <c r="J94" s="43"/>
      <c r="K94" s="43"/>
      <c r="L94" s="43"/>
      <c r="M94" s="43"/>
      <c r="N94" s="43"/>
      <c r="O94" s="43"/>
    </row>
    <row r="95" spans="1:15" ht="21" customHeight="1">
      <c r="A95" s="42"/>
      <c r="B95" s="42"/>
      <c r="C95" s="42"/>
      <c r="D95" s="43"/>
      <c r="E95" s="43"/>
      <c r="F95" s="43"/>
      <c r="G95" s="43"/>
      <c r="H95" s="43"/>
      <c r="I95" s="43"/>
      <c r="J95" s="43"/>
      <c r="K95" s="43"/>
      <c r="L95" s="43"/>
      <c r="M95" s="43"/>
      <c r="N95" s="43"/>
      <c r="O95" s="43"/>
    </row>
    <row r="96" spans="1:15" ht="21" customHeight="1">
      <c r="A96" s="1"/>
      <c r="B96" s="1"/>
      <c r="C96" s="1"/>
      <c r="D96" s="1"/>
      <c r="E96" s="1"/>
      <c r="F96" s="1"/>
      <c r="G96" s="1"/>
      <c r="H96" s="1"/>
      <c r="I96" s="1"/>
      <c r="J96" s="1"/>
      <c r="K96" s="1"/>
      <c r="L96" s="1"/>
      <c r="M96" s="1"/>
      <c r="N96" s="1"/>
      <c r="O96" s="1"/>
    </row>
    <row r="97" spans="1:15" ht="21" customHeight="1">
      <c r="A97" s="1"/>
      <c r="B97" s="1"/>
      <c r="C97" s="1"/>
      <c r="D97" s="1"/>
      <c r="E97" s="1"/>
      <c r="F97" s="1"/>
      <c r="G97" s="1"/>
      <c r="H97" s="1"/>
      <c r="I97" s="1"/>
      <c r="J97" s="1"/>
      <c r="K97" s="1"/>
      <c r="L97" s="1"/>
      <c r="M97" s="1"/>
      <c r="N97" s="1"/>
      <c r="O97" s="1"/>
    </row>
    <row r="99" spans="1:15" ht="25" customHeight="1">
      <c r="A99" s="9" t="s">
        <v>530</v>
      </c>
      <c r="B99" s="9"/>
      <c r="C99" s="9"/>
      <c r="D99" s="9"/>
      <c r="E99" s="9"/>
      <c r="F99" s="9"/>
      <c r="G99" s="9"/>
      <c r="H99" s="9"/>
      <c r="I99" s="9"/>
      <c r="J99" s="9"/>
      <c r="K99" s="9"/>
      <c r="L99" s="9"/>
      <c r="M99" s="9"/>
      <c r="N99" s="9"/>
      <c r="O99" s="9"/>
    </row>
    <row r="100" spans="1:15" ht="32" customHeight="1">
      <c r="A100" s="17" t="s">
        <v>531</v>
      </c>
      <c r="B100" s="17"/>
      <c r="C100" s="17"/>
      <c r="D100" s="17"/>
      <c r="E100" s="17"/>
      <c r="F100" s="17" t="s">
        <v>532</v>
      </c>
      <c r="G100" s="17"/>
      <c r="H100" s="17"/>
      <c r="I100" s="17"/>
      <c r="J100" s="17"/>
      <c r="K100" s="17" t="s">
        <v>533</v>
      </c>
      <c r="L100" s="17"/>
      <c r="M100" s="17"/>
      <c r="N100" s="17"/>
      <c r="O100" s="17"/>
    </row>
  </sheetData>
  <mergeCells count="42">
    <mergeCell ref="A1:O1"/>
    <mergeCell ref="A2:O2"/>
    <mergeCell ref="A7:C10"/>
    <mergeCell ref="D7:O10"/>
    <mergeCell ref="A12:C15"/>
    <mergeCell ref="D12:O15"/>
    <mergeCell ref="A17:C20"/>
    <mergeCell ref="D17:O20"/>
    <mergeCell ref="A22:C25"/>
    <mergeCell ref="D22:O25"/>
    <mergeCell ref="A27:C30"/>
    <mergeCell ref="D27:O30"/>
    <mergeCell ref="A32:C35"/>
    <mergeCell ref="D32:O35"/>
    <mergeCell ref="A37:C40"/>
    <mergeCell ref="D37:O40"/>
    <mergeCell ref="A42:C45"/>
    <mergeCell ref="D42:O45"/>
    <mergeCell ref="A47:C50"/>
    <mergeCell ref="D47:O50"/>
    <mergeCell ref="A52:C55"/>
    <mergeCell ref="D52:O55"/>
    <mergeCell ref="A57:C60"/>
    <mergeCell ref="D57:O60"/>
    <mergeCell ref="A62:C65"/>
    <mergeCell ref="D62:O65"/>
    <mergeCell ref="A67:C70"/>
    <mergeCell ref="D67:O70"/>
    <mergeCell ref="A72:C75"/>
    <mergeCell ref="D72:O75"/>
    <mergeCell ref="A77:C80"/>
    <mergeCell ref="D77:O80"/>
    <mergeCell ref="A82:C85"/>
    <mergeCell ref="D82:O85"/>
    <mergeCell ref="A87:C90"/>
    <mergeCell ref="D87:O90"/>
    <mergeCell ref="A92:C95"/>
    <mergeCell ref="D92:O95"/>
    <mergeCell ref="A99:O99"/>
    <mergeCell ref="A100:E100"/>
    <mergeCell ref="F100:J100"/>
    <mergeCell ref="K100:O100"/>
  </mergeCells>
  <hyperlinks>
    <hyperlink ref="A4" location="'Start Here'!A1" display="← Start Here"/>
    <hyperlink ref="E4" location="'The 100'!A1" display="The 100 →"/>
    <hyperlink ref="A100" r:id="rId1"/>
    <hyperlink ref="F100" r:id="rId2"/>
    <hyperlink ref="K100" r:id="rId3"/>
  </hyperlinks>
  <pageMargins left="0.3" right="0.3" top="0.4" bottom="0.4" header="0.15" footer="0.15"/>
  <pageSetup paperSize="9" fitToHeight="0" orientation="portrait"/>
  <headerFooter>
    <oddHeader>&amp;LPlay 100&amp;RUser-curated collection</oddHeader>
    <oddFooter>&amp;L&amp;8Curated by Leul Tewodros Agonafer
https://github.com/LeulTew/play-100&amp;C&amp;8https://www.linkedin.com/in/leul-t-agonafer-861bb3336/
https://t.me/fabbin&amp;R&amp;8&amp;P / &amp;N</oddFooter>
  </headerFooter>
  <rowBreaks count="2" manualBreakCount="2">
    <brk id="36" max="16383" man="1"/>
    <brk id="6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Start Here</vt:lpstr>
      <vt:lpstr>The 100</vt:lpstr>
      <vt:lpstr>Chronology</vt:lpstr>
      <vt:lpstr>Cover Gallery</vt:lpstr>
      <vt:lpstr>Methodology</vt:lpstr>
      <vt:lpstr>Chronology!Print_Area</vt:lpstr>
      <vt:lpstr>'Cover Gallery'!Print_Area</vt:lpstr>
      <vt:lpstr>Methodology!Print_Area</vt:lpstr>
      <vt:lpstr>'Start Here'!Print_Area</vt:lpstr>
      <vt:lpstr>'The 100'!Print_Area</vt:lpstr>
      <vt:lpstr>Chronology!Print_Titles</vt:lpstr>
      <vt:lpstr>'Cover Gallery'!Print_Titles</vt:lpstr>
      <vt:lpstr>Methodology!Print_Titles</vt:lpstr>
      <vt:lpstr>'The 100'!Print_Titles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dc:title>Play 100 | The gaming collection</dc:title>
  <dc:subject>User-curated ranking and source critic-score snapshot</dc:subject>
  <dc:creator>Leul Tewodros Agonafer</dc:creator>
  <dc:description>Scores, years and ranking are source snapshots, not independently reverified.</dc:description>
  <cp:lastModifiedBy>Leul Tewodros Agonafer</cp:lastModifiedBy>
</cp:coreProperties>
</file>