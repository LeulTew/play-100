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-PC\Downloads\"/>
    </mc:Choice>
  </mc:AlternateContent>
  <xr:revisionPtr revIDLastSave="0" documentId="8_{D20B41B4-6DAE-4B1C-BD9B-D72E7416DF83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AAA Top 50" sheetId="1" r:id="rId1"/>
    <sheet name="Posters" sheetId="2" r:id="rId2"/>
    <sheet name="Timeline" sheetId="3" r:id="rId3"/>
    <sheet name="Methodology" sheetId="4" r:id="rId4"/>
    <sheet name="Sortable Rating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5" l="1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G2" i="5"/>
  <c r="F2" i="5"/>
  <c r="E2" i="5"/>
  <c r="D2" i="5"/>
  <c r="C2" i="5"/>
  <c r="B2" i="5"/>
  <c r="A2" i="5"/>
  <c r="L105" i="1"/>
  <c r="I101" i="5" s="1"/>
  <c r="K105" i="1"/>
  <c r="H101" i="5" s="1"/>
  <c r="L104" i="1"/>
  <c r="I100" i="5" s="1"/>
  <c r="K104" i="1"/>
  <c r="H100" i="5" s="1"/>
  <c r="L103" i="1"/>
  <c r="I99" i="5" s="1"/>
  <c r="K103" i="1"/>
  <c r="H99" i="5" s="1"/>
  <c r="L102" i="1"/>
  <c r="I98" i="5" s="1"/>
  <c r="K102" i="1"/>
  <c r="H98" i="5" s="1"/>
  <c r="L101" i="1"/>
  <c r="I97" i="5" s="1"/>
  <c r="K101" i="1"/>
  <c r="H97" i="5" s="1"/>
  <c r="L100" i="1"/>
  <c r="I96" i="5" s="1"/>
  <c r="K100" i="1"/>
  <c r="H96" i="5" s="1"/>
  <c r="L99" i="1"/>
  <c r="I95" i="5" s="1"/>
  <c r="K99" i="1"/>
  <c r="H95" i="5" s="1"/>
  <c r="L98" i="1"/>
  <c r="I94" i="5" s="1"/>
  <c r="K98" i="1"/>
  <c r="H94" i="5" s="1"/>
  <c r="L97" i="1"/>
  <c r="I93" i="5" s="1"/>
  <c r="K97" i="1"/>
  <c r="H93" i="5" s="1"/>
  <c r="L96" i="1"/>
  <c r="I92" i="5" s="1"/>
  <c r="K96" i="1"/>
  <c r="H92" i="5" s="1"/>
  <c r="L95" i="1"/>
  <c r="I91" i="5" s="1"/>
  <c r="K95" i="1"/>
  <c r="H91" i="5" s="1"/>
  <c r="L94" i="1"/>
  <c r="I90" i="5" s="1"/>
  <c r="K94" i="1"/>
  <c r="H90" i="5" s="1"/>
  <c r="L93" i="1"/>
  <c r="I89" i="5" s="1"/>
  <c r="K93" i="1"/>
  <c r="H89" i="5" s="1"/>
  <c r="L92" i="1"/>
  <c r="I88" i="5" s="1"/>
  <c r="K92" i="1"/>
  <c r="H88" i="5" s="1"/>
  <c r="L91" i="1"/>
  <c r="I87" i="5" s="1"/>
  <c r="K91" i="1"/>
  <c r="H87" i="5" s="1"/>
  <c r="L90" i="1"/>
  <c r="I86" i="5" s="1"/>
  <c r="K90" i="1"/>
  <c r="H86" i="5" s="1"/>
  <c r="L89" i="1"/>
  <c r="I85" i="5" s="1"/>
  <c r="K89" i="1"/>
  <c r="H85" i="5" s="1"/>
  <c r="L88" i="1"/>
  <c r="I84" i="5" s="1"/>
  <c r="K88" i="1"/>
  <c r="H84" i="5" s="1"/>
  <c r="L87" i="1"/>
  <c r="I83" i="5" s="1"/>
  <c r="K87" i="1"/>
  <c r="H83" i="5" s="1"/>
  <c r="L86" i="1"/>
  <c r="I82" i="5" s="1"/>
  <c r="K86" i="1"/>
  <c r="H82" i="5" s="1"/>
  <c r="L85" i="1"/>
  <c r="I81" i="5" s="1"/>
  <c r="K85" i="1"/>
  <c r="H81" i="5" s="1"/>
  <c r="L84" i="1"/>
  <c r="I80" i="5" s="1"/>
  <c r="K84" i="1"/>
  <c r="H80" i="5" s="1"/>
  <c r="L83" i="1"/>
  <c r="I79" i="5" s="1"/>
  <c r="K83" i="1"/>
  <c r="H79" i="5" s="1"/>
  <c r="L82" i="1"/>
  <c r="I78" i="5" s="1"/>
  <c r="K82" i="1"/>
  <c r="H78" i="5" s="1"/>
  <c r="L81" i="1"/>
  <c r="I77" i="5" s="1"/>
  <c r="K81" i="1"/>
  <c r="H77" i="5" s="1"/>
  <c r="L80" i="1"/>
  <c r="I76" i="5" s="1"/>
  <c r="K80" i="1"/>
  <c r="H76" i="5" s="1"/>
  <c r="L79" i="1"/>
  <c r="I75" i="5" s="1"/>
  <c r="K79" i="1"/>
  <c r="H75" i="5" s="1"/>
  <c r="L78" i="1"/>
  <c r="I74" i="5" s="1"/>
  <c r="K78" i="1"/>
  <c r="H74" i="5" s="1"/>
  <c r="L77" i="1"/>
  <c r="I73" i="5" s="1"/>
  <c r="K77" i="1"/>
  <c r="H73" i="5" s="1"/>
  <c r="L76" i="1"/>
  <c r="I72" i="5" s="1"/>
  <c r="K76" i="1"/>
  <c r="H72" i="5" s="1"/>
  <c r="L75" i="1"/>
  <c r="I71" i="5" s="1"/>
  <c r="K75" i="1"/>
  <c r="H71" i="5" s="1"/>
  <c r="L74" i="1"/>
  <c r="I70" i="5" s="1"/>
  <c r="K74" i="1"/>
  <c r="H70" i="5" s="1"/>
  <c r="L73" i="1"/>
  <c r="I69" i="5" s="1"/>
  <c r="K73" i="1"/>
  <c r="H69" i="5" s="1"/>
  <c r="L72" i="1"/>
  <c r="I68" i="5" s="1"/>
  <c r="K72" i="1"/>
  <c r="H68" i="5" s="1"/>
  <c r="L71" i="1"/>
  <c r="I67" i="5" s="1"/>
  <c r="K71" i="1"/>
  <c r="H67" i="5" s="1"/>
  <c r="L70" i="1"/>
  <c r="I66" i="5" s="1"/>
  <c r="K70" i="1"/>
  <c r="H66" i="5" s="1"/>
  <c r="L69" i="1"/>
  <c r="I65" i="5" s="1"/>
  <c r="K69" i="1"/>
  <c r="H65" i="5" s="1"/>
  <c r="L68" i="1"/>
  <c r="I64" i="5" s="1"/>
  <c r="K68" i="1"/>
  <c r="H64" i="5" s="1"/>
  <c r="L67" i="1"/>
  <c r="I63" i="5" s="1"/>
  <c r="K67" i="1"/>
  <c r="H63" i="5" s="1"/>
  <c r="L66" i="1"/>
  <c r="I62" i="5" s="1"/>
  <c r="K66" i="1"/>
  <c r="H62" i="5" s="1"/>
  <c r="L65" i="1"/>
  <c r="I61" i="5" s="1"/>
  <c r="K65" i="1"/>
  <c r="H61" i="5" s="1"/>
  <c r="L64" i="1"/>
  <c r="I60" i="5" s="1"/>
  <c r="K64" i="1"/>
  <c r="H60" i="5" s="1"/>
  <c r="L63" i="1"/>
  <c r="I59" i="5" s="1"/>
  <c r="K63" i="1"/>
  <c r="H59" i="5" s="1"/>
  <c r="L62" i="1"/>
  <c r="I58" i="5" s="1"/>
  <c r="K62" i="1"/>
  <c r="H58" i="5" s="1"/>
  <c r="L61" i="1"/>
  <c r="I57" i="5" s="1"/>
  <c r="K61" i="1"/>
  <c r="H57" i="5" s="1"/>
  <c r="L60" i="1"/>
  <c r="I56" i="5" s="1"/>
  <c r="K60" i="1"/>
  <c r="H56" i="5" s="1"/>
  <c r="L59" i="1"/>
  <c r="I55" i="5" s="1"/>
  <c r="K59" i="1"/>
  <c r="H55" i="5" s="1"/>
  <c r="L58" i="1"/>
  <c r="I54" i="5" s="1"/>
  <c r="K58" i="1"/>
  <c r="H54" i="5" s="1"/>
  <c r="L57" i="1"/>
  <c r="I53" i="5" s="1"/>
  <c r="K57" i="1"/>
  <c r="H53" i="5" s="1"/>
  <c r="L56" i="1"/>
  <c r="I52" i="5" s="1"/>
  <c r="K56" i="1"/>
  <c r="H52" i="5" s="1"/>
  <c r="L54" i="1"/>
  <c r="I51" i="5" s="1"/>
  <c r="K54" i="1"/>
  <c r="H51" i="5" s="1"/>
  <c r="L53" i="1"/>
  <c r="I50" i="5" s="1"/>
  <c r="K53" i="1"/>
  <c r="H50" i="5" s="1"/>
  <c r="L52" i="1"/>
  <c r="I49" i="5" s="1"/>
  <c r="K52" i="1"/>
  <c r="H49" i="5" s="1"/>
  <c r="L51" i="1"/>
  <c r="I48" i="5" s="1"/>
  <c r="K51" i="1"/>
  <c r="H48" i="5" s="1"/>
  <c r="L50" i="1"/>
  <c r="I47" i="5" s="1"/>
  <c r="K50" i="1"/>
  <c r="H47" i="5" s="1"/>
  <c r="L49" i="1"/>
  <c r="I46" i="5" s="1"/>
  <c r="K49" i="1"/>
  <c r="H46" i="5" s="1"/>
  <c r="L48" i="1"/>
  <c r="I45" i="5" s="1"/>
  <c r="K48" i="1"/>
  <c r="H45" i="5" s="1"/>
  <c r="L47" i="1"/>
  <c r="I44" i="5" s="1"/>
  <c r="K47" i="1"/>
  <c r="H44" i="5" s="1"/>
  <c r="L46" i="1"/>
  <c r="I43" i="5" s="1"/>
  <c r="K46" i="1"/>
  <c r="H43" i="5" s="1"/>
  <c r="L45" i="1"/>
  <c r="I42" i="5" s="1"/>
  <c r="K45" i="1"/>
  <c r="H42" i="5" s="1"/>
  <c r="L44" i="1"/>
  <c r="I41" i="5" s="1"/>
  <c r="K44" i="1"/>
  <c r="H41" i="5" s="1"/>
  <c r="L43" i="1"/>
  <c r="I40" i="5" s="1"/>
  <c r="K43" i="1"/>
  <c r="H40" i="5" s="1"/>
  <c r="L42" i="1"/>
  <c r="I39" i="5" s="1"/>
  <c r="K42" i="1"/>
  <c r="H39" i="5" s="1"/>
  <c r="L41" i="1"/>
  <c r="I38" i="5" s="1"/>
  <c r="K41" i="1"/>
  <c r="H38" i="5" s="1"/>
  <c r="L40" i="1"/>
  <c r="I37" i="5" s="1"/>
  <c r="K40" i="1"/>
  <c r="H37" i="5" s="1"/>
  <c r="L39" i="1"/>
  <c r="I36" i="5" s="1"/>
  <c r="K39" i="1"/>
  <c r="H36" i="5" s="1"/>
  <c r="L38" i="1"/>
  <c r="I35" i="5" s="1"/>
  <c r="K38" i="1"/>
  <c r="H35" i="5" s="1"/>
  <c r="L37" i="1"/>
  <c r="I34" i="5" s="1"/>
  <c r="K37" i="1"/>
  <c r="H34" i="5" s="1"/>
  <c r="L36" i="1"/>
  <c r="I33" i="5" s="1"/>
  <c r="K36" i="1"/>
  <c r="H33" i="5" s="1"/>
  <c r="L35" i="1"/>
  <c r="I32" i="5" s="1"/>
  <c r="K35" i="1"/>
  <c r="H32" i="5" s="1"/>
  <c r="L34" i="1"/>
  <c r="I31" i="5" s="1"/>
  <c r="K34" i="1"/>
  <c r="H31" i="5" s="1"/>
  <c r="L33" i="1"/>
  <c r="I30" i="5" s="1"/>
  <c r="K33" i="1"/>
  <c r="H30" i="5" s="1"/>
  <c r="L32" i="1"/>
  <c r="I29" i="5" s="1"/>
  <c r="K32" i="1"/>
  <c r="H29" i="5" s="1"/>
  <c r="L31" i="1"/>
  <c r="I28" i="5" s="1"/>
  <c r="K31" i="1"/>
  <c r="H28" i="5" s="1"/>
  <c r="L30" i="1"/>
  <c r="I27" i="5" s="1"/>
  <c r="K30" i="1"/>
  <c r="H27" i="5" s="1"/>
  <c r="L29" i="1"/>
  <c r="I26" i="5" s="1"/>
  <c r="K29" i="1"/>
  <c r="H26" i="5" s="1"/>
  <c r="L28" i="1"/>
  <c r="I25" i="5" s="1"/>
  <c r="K28" i="1"/>
  <c r="H25" i="5" s="1"/>
  <c r="L27" i="1"/>
  <c r="I24" i="5" s="1"/>
  <c r="K27" i="1"/>
  <c r="H24" i="5" s="1"/>
  <c r="L26" i="1"/>
  <c r="I23" i="5" s="1"/>
  <c r="K26" i="1"/>
  <c r="H23" i="5" s="1"/>
  <c r="L25" i="1"/>
  <c r="I22" i="5" s="1"/>
  <c r="K25" i="1"/>
  <c r="H22" i="5" s="1"/>
  <c r="L24" i="1"/>
  <c r="I21" i="5" s="1"/>
  <c r="K24" i="1"/>
  <c r="H21" i="5" s="1"/>
  <c r="L23" i="1"/>
  <c r="I20" i="5" s="1"/>
  <c r="K23" i="1"/>
  <c r="H20" i="5" s="1"/>
  <c r="L22" i="1"/>
  <c r="I19" i="5" s="1"/>
  <c r="K22" i="1"/>
  <c r="H19" i="5" s="1"/>
  <c r="L21" i="1"/>
  <c r="I18" i="5" s="1"/>
  <c r="K21" i="1"/>
  <c r="H18" i="5" s="1"/>
  <c r="L20" i="1"/>
  <c r="I17" i="5" s="1"/>
  <c r="K20" i="1"/>
  <c r="H17" i="5" s="1"/>
  <c r="L19" i="1"/>
  <c r="I16" i="5" s="1"/>
  <c r="K19" i="1"/>
  <c r="H16" i="5" s="1"/>
  <c r="L18" i="1"/>
  <c r="I15" i="5" s="1"/>
  <c r="K18" i="1"/>
  <c r="H15" i="5" s="1"/>
  <c r="L17" i="1"/>
  <c r="I14" i="5" s="1"/>
  <c r="K17" i="1"/>
  <c r="H14" i="5" s="1"/>
  <c r="L16" i="1"/>
  <c r="I13" i="5" s="1"/>
  <c r="K16" i="1"/>
  <c r="H13" i="5" s="1"/>
  <c r="L15" i="1"/>
  <c r="I12" i="5" s="1"/>
  <c r="K15" i="1"/>
  <c r="H12" i="5" s="1"/>
  <c r="L14" i="1"/>
  <c r="I11" i="5" s="1"/>
  <c r="K14" i="1"/>
  <c r="H11" i="5" s="1"/>
  <c r="L13" i="1"/>
  <c r="I10" i="5" s="1"/>
  <c r="K13" i="1"/>
  <c r="H10" i="5" s="1"/>
  <c r="L12" i="1"/>
  <c r="I9" i="5" s="1"/>
  <c r="K12" i="1"/>
  <c r="H9" i="5" s="1"/>
  <c r="L11" i="1"/>
  <c r="I8" i="5" s="1"/>
  <c r="K11" i="1"/>
  <c r="H8" i="5" s="1"/>
  <c r="L10" i="1"/>
  <c r="I7" i="5" s="1"/>
  <c r="K10" i="1"/>
  <c r="H7" i="5" s="1"/>
  <c r="L9" i="1"/>
  <c r="I6" i="5" s="1"/>
  <c r="K9" i="1"/>
  <c r="H6" i="5" s="1"/>
  <c r="L8" i="1"/>
  <c r="I5" i="5" s="1"/>
  <c r="K8" i="1"/>
  <c r="H5" i="5" s="1"/>
  <c r="L7" i="1"/>
  <c r="I4" i="5" s="1"/>
  <c r="K7" i="1"/>
  <c r="H4" i="5" s="1"/>
  <c r="L6" i="1"/>
  <c r="I3" i="5" s="1"/>
  <c r="K6" i="1"/>
  <c r="H3" i="5" s="1"/>
  <c r="L5" i="1"/>
  <c r="I2" i="5" s="1"/>
  <c r="K5" i="1"/>
  <c r="H2" i="5" s="1"/>
</calcChain>
</file>

<file path=xl/sharedStrings.xml><?xml version="1.0" encoding="utf-8"?>
<sst xmlns="http://schemas.openxmlformats.org/spreadsheetml/2006/main" count="676" uniqueCount="328">
  <si>
    <t>AAA GAMES U HAVE TO PLAY LIST</t>
  </si>
  <si>
    <t>TOP 100 • ranks 1–50 are the core must-play tier; ranks 51–100 are the next essential tier • Nintendo excluded</t>
  </si>
  <si>
    <t>Rank</t>
  </si>
  <si>
    <t>Game</t>
  </si>
  <si>
    <t>Year</t>
  </si>
  <si>
    <t>Publisher / Studio</t>
  </si>
  <si>
    <t>Genre</t>
  </si>
  <si>
    <t>Metacritic /100</t>
  </si>
  <si>
    <t>Metacritic PC /100</t>
  </si>
  <si>
    <t>IGN /10</t>
  </si>
  <si>
    <t>GameSpot /10</t>
  </si>
  <si>
    <t>PC Gamer /100</t>
  </si>
  <si>
    <t>Normalized Avg /100</t>
  </si>
  <si>
    <t>my rating(based on rank)</t>
  </si>
  <si>
    <t>Why it ranks here</t>
  </si>
  <si>
    <t>Red Dead Redemption 2</t>
  </si>
  <si>
    <t>Rockstar Games</t>
  </si>
  <si>
    <t>Open-world / Action-Adventure</t>
  </si>
  <si>
    <t>The benchmark blockbuster: world-building, immersion, narrative detail and systemic depth at extraordinary scale.</t>
  </si>
  <si>
    <t>Mass Effect 2</t>
  </si>
  <si>
    <t>BioWare / EA</t>
  </si>
  <si>
    <t>Action RPG / Sci-Fi</t>
  </si>
  <si>
    <t>Elite character-driven sci-fi RPG design; squad relationships and mission structure remain genre-defining.</t>
  </si>
  <si>
    <t>The Witcher 3: Wild Hunt</t>
  </si>
  <si>
    <t>CD Projekt Red</t>
  </si>
  <si>
    <t>Open-world RPG</t>
  </si>
  <si>
    <t>A landmark open-world RPG with exceptional side quests, world density and long-term reputation.</t>
  </si>
  <si>
    <t>Grand Theft Auto V</t>
  </si>
  <si>
    <t>One of the defining blockbuster open worlds; huge cultural footprint and exceptional sandbox freedom.</t>
  </si>
  <si>
    <t>BioShock</t>
  </si>
  <si>
    <t>2K / Irrational Games</t>
  </si>
  <si>
    <t>FPS / Narrative</t>
  </si>
  <si>
    <t>A landmark AAA shooter/narrative hybrid whose setting, atmosphere and storytelling still stand out.</t>
  </si>
  <si>
    <t>God of War</t>
  </si>
  <si>
    <t>Santa Monica Studio / Sony</t>
  </si>
  <si>
    <t>Action-Adventure</t>
  </si>
  <si>
    <t>Major reinvention of a flagship action series with strong combat, presentation and character writing.</t>
  </si>
  <si>
    <t>The Last of Us</t>
  </si>
  <si>
    <t>Naughty Dog / Sony</t>
  </si>
  <si>
    <t>Action-Adventure / Survival</t>
  </si>
  <si>
    <t>A landmark cinematic action game with unusually strong pacing, performances and environmental storytelling.</t>
  </si>
  <si>
    <t>Grand Theft Auto IV</t>
  </si>
  <si>
    <t>Massive cultural impact and a more grounded crime-world tone that influenced open-world design.</t>
  </si>
  <si>
    <t>Red Dead Redemption</t>
  </si>
  <si>
    <t>Outstanding western open world and a foundational Rockstar story experience.</t>
  </si>
  <si>
    <t>Mass Effect</t>
  </si>
  <si>
    <t>Established BioWare's galaxy-scale RPG formula and the Commander Shepard trilogy foundation.</t>
  </si>
  <si>
    <t>The Elder Scrolls V: Skyrim</t>
  </si>
  <si>
    <t>Bethesda Game Studios</t>
  </si>
  <si>
    <t>Defining open-world fantasy RPG freedom; exploration, modding and scale made it a lasting gateway RPG.</t>
  </si>
  <si>
    <t>Baldur's Gate 3</t>
  </si>
  <si>
    <t>Larian Studios</t>
  </si>
  <si>
    <t>CRPG / RPG</t>
  </si>
  <si>
    <t>A modern RPG landmark for player choice, reactivity, companions, encounter design and systemic freedom.</t>
  </si>
  <si>
    <t>Clair Obscur: Expedition 33</t>
  </si>
  <si>
    <t>Sandfall Interactive / Kepler Interactive</t>
  </si>
  <si>
    <t>Turn-based RPG</t>
  </si>
  <si>
    <t>Exceptional modern RPG breakout: distinctive world, music, story and an innovative turn-based/action hybrid. AAA-caliber presentation despite an indie-sized studio.</t>
  </si>
  <si>
    <t>Batman: Arkham City</t>
  </si>
  <si>
    <t>Rocksteady / WB Games</t>
  </si>
  <si>
    <t>The standout Batman game and a benchmark for open-world superhero action.</t>
  </si>
  <si>
    <t>Elden Ring</t>
  </si>
  <si>
    <t>FromSoftware / Bandai Namco</t>
  </si>
  <si>
    <t>Open-world Action RPG</t>
  </si>
  <si>
    <t>Modern action-RPG landmark with huge exploration freedom and influential world design.</t>
  </si>
  <si>
    <t>Uncharted 4: A Thief's End</t>
  </si>
  <si>
    <t>AAA cinematic adventure polished to an exceptional degree, with superb set pieces and production value.</t>
  </si>
  <si>
    <t>God of War Ragnarök</t>
  </si>
  <si>
    <t>Refined sequel that expands the 2018 formula while delivering some of the strongest modern blockbuster combat.</t>
  </si>
  <si>
    <t>The Last of Us Part II</t>
  </si>
  <si>
    <t>Bold sequel with elite production, combat depth and unusually ambitious storytelling.</t>
  </si>
  <si>
    <t>Grand Theft Auto: San Andreas</t>
  </si>
  <si>
    <t>Rockstar North / Rockstar</t>
  </si>
  <si>
    <t>An enormous cultural landmark and one of the strongest examples of early 3D open-world freedom.</t>
  </si>
  <si>
    <t>Mass Effect 3</t>
  </si>
  <si>
    <t>Excellent RPG systems, companions and galaxy-scale storytelling despite a divisive finale.</t>
  </si>
  <si>
    <t>Fallout 3</t>
  </si>
  <si>
    <t>A foundational modern open-world RPG with exploration, questing and atmosphere still worth experiencing.</t>
  </si>
  <si>
    <t>Baldur's Gate II: Shadows of Amn</t>
  </si>
  <si>
    <t>BioWare / Interplay</t>
  </si>
  <si>
    <t>One of the foundational large-scale RPGs; less modern-looking, but massively important to the genre.</t>
  </si>
  <si>
    <t>Halo 3</t>
  </si>
  <si>
    <t>Bungie / Microsoft</t>
  </si>
  <si>
    <t>FPS</t>
  </si>
  <si>
    <t>One of the defining console FPS campaigns and a major multiplayer-era blockbuster.</t>
  </si>
  <si>
    <t>Portal 2</t>
  </si>
  <si>
    <t>Valve</t>
  </si>
  <si>
    <t>Puzzle / Adventure</t>
  </si>
  <si>
    <t>One of the strongest puzzle/adventure productions ever released by a major studio.</t>
  </si>
  <si>
    <t>Half-Life 2</t>
  </si>
  <si>
    <t>FPS / Action</t>
  </si>
  <si>
    <t>A transformative FPS that reshaped physics, environmental storytelling and immersive level design.</t>
  </si>
  <si>
    <t>Cyberpunk 2077</t>
  </si>
  <si>
    <t>An ambitious, visually striking RPG whose post-launch evolution is important to its legacy.</t>
  </si>
  <si>
    <t>Resident Evil 7: Biohazard</t>
  </si>
  <si>
    <t>Capcom</t>
  </si>
  <si>
    <t>Survival Horror</t>
  </si>
  <si>
    <t>A first-person reinvention of Resident Evil that brought major mainstream attention back to horror.</t>
  </si>
  <si>
    <t>Alan Wake 2</t>
  </si>
  <si>
    <t>Remedy / Epic Games</t>
  </si>
  <si>
    <t>Survival Horror / Action</t>
  </si>
  <si>
    <t>A landmark modern horror production with exceptional audiovisual direction and narrative ambition.</t>
  </si>
  <si>
    <t>Control</t>
  </si>
  <si>
    <t>Remedy / 505 Games</t>
  </si>
  <si>
    <t>Distinctive AAA supernatural action with exceptional atmosphere, art direction and telekinetic combat.</t>
  </si>
  <si>
    <t>Star Wars: Knights of the Old Republic</t>
  </si>
  <si>
    <t>BioWare / LucasArts</t>
  </si>
  <si>
    <t>RPG</t>
  </si>
  <si>
    <t>A landmark licensed RPG with strong writing, choice and world-building.</t>
  </si>
  <si>
    <t>Metal Gear Solid 3: Snake Eater</t>
  </si>
  <si>
    <t>Konami</t>
  </si>
  <si>
    <t>Action / Stealth</t>
  </si>
  <si>
    <t>A landmark stealth blockbuster with exceptional survival mechanics and storytelling.</t>
  </si>
  <si>
    <t>Call of Duty 4: Modern Warfare</t>
  </si>
  <si>
    <t>Infinity Ward / Activision</t>
  </si>
  <si>
    <t>A defining AAA shooter whose campaign, multiplayer and presentation changed the mainstream FPS.</t>
  </si>
  <si>
    <t>Assassin's Creed IV: Black Flag</t>
  </si>
  <si>
    <t>Ubisoft Montreal / Ubisoft</t>
  </si>
  <si>
    <t>Open-world Action-Adventure</t>
  </si>
  <si>
    <t>Combines Assassin's Creed with a highly memorable open-world naval sandbox.</t>
  </si>
  <si>
    <t>Dishonored</t>
  </si>
  <si>
    <t>Arkane / Bethesda</t>
  </si>
  <si>
    <t>Immersive Sim / Action</t>
  </si>
  <si>
    <t>A landmark modern immersive sim with excellent level design and player-driven approaches.</t>
  </si>
  <si>
    <t>The Elder Scrolls IV: Oblivion</t>
  </si>
  <si>
    <t>One of the key early open-world RPGs and a direct ancestor to Skyrim.</t>
  </si>
  <si>
    <t>Halo: Reach</t>
  </si>
  <si>
    <t>Excellent campaign pacing, combat and world-building within the Halo formula.</t>
  </si>
  <si>
    <t>Far Cry 4</t>
  </si>
  <si>
    <t>Open-world FPS</t>
  </si>
  <si>
    <t>Big, polished Ubisoft open world; less groundbreaking than FC3 but still a core AAA shooter experience.</t>
  </si>
  <si>
    <t>Dragon Age: Inquisition</t>
  </si>
  <si>
    <t>A large-scale fantasy RPG that brought BioWare's companions and choices to an expansive 3D world.</t>
  </si>
  <si>
    <t>Metro Exodus</t>
  </si>
  <si>
    <t>4A Games / Deep Silver</t>
  </si>
  <si>
    <t>FPS / Survival</t>
  </si>
  <si>
    <t>Immersive post-apocalyptic FPS design with strong atmosphere, world detail and survival mechanics.</t>
  </si>
  <si>
    <t>Resident Evil 2</t>
  </si>
  <si>
    <t>A near-perfect modern remake of a foundational survival-horror game.</t>
  </si>
  <si>
    <t>Titanfall 2</t>
  </si>
  <si>
    <t>Respawn / EA</t>
  </si>
  <si>
    <t>A standout blockbuster FPS with one of the genre's most praised campaigns and movement systems.</t>
  </si>
  <si>
    <t>Star Wars Battlefront II</t>
  </si>
  <si>
    <t>DICE / EA</t>
  </si>
  <si>
    <t>A visually spectacular Star Wars blockbuster that improved significantly after launch.</t>
  </si>
  <si>
    <t>Sekiro: Shadows Die Twice</t>
  </si>
  <si>
    <t>FromSoftware / Activision</t>
  </si>
  <si>
    <t>Action RPG</t>
  </si>
  <si>
    <t>Masterful precision action design; a modern FromSoftware essential.</t>
  </si>
  <si>
    <t>Bloodborne</t>
  </si>
  <si>
    <t>FromSoftware / Sony</t>
  </si>
  <si>
    <t>A defining PlayStation action RPG with atmosphere, combat and world design that shaped the genre.</t>
  </si>
  <si>
    <t>Grand Theft Auto: Vice City</t>
  </si>
  <si>
    <t>A defining open-world classic whose tone, setting and mission design made it culturally iconic.</t>
  </si>
  <si>
    <t>Star Wars Jedi: Fallen Order</t>
  </si>
  <si>
    <t>A major modern Star Wars single-player revival with Soulslike-inspired combat and blockbuster presentation.</t>
  </si>
  <si>
    <t>Horizon Zero Dawn</t>
  </si>
  <si>
    <t>Guerrilla / Sony</t>
  </si>
  <si>
    <t>A major PS4-era open-world RPG with a distinctive science-fiction setting and strong combat.</t>
  </si>
  <si>
    <t>Horizon Forbidden West</t>
  </si>
  <si>
    <t>Large-scale sequel with expanded combat, exploration and presentation.</t>
  </si>
  <si>
    <t>Ghost of Tsushima</t>
  </si>
  <si>
    <t>Sucker Punch / Sony</t>
  </si>
  <si>
    <t>One of the strongest samurai-themed open worlds, with exceptional art direction and sword combat.</t>
  </si>
  <si>
    <t>DOOM Eternal</t>
  </si>
  <si>
    <t>id Software / Bethesda</t>
  </si>
  <si>
    <t>Pushes modern FPS combat speed and mechanical depth to a remarkable level.</t>
  </si>
  <si>
    <t>BOTTOM 50 • ESSENTIAL SECOND TIER</t>
  </si>
  <si>
    <t>Star Wars Jedi: Survivor</t>
  </si>
  <si>
    <t>A major modern Star Wars action-adventure with strong exploration, combat and cinematic production.</t>
  </si>
  <si>
    <t>Death Stranding</t>
  </si>
  <si>
    <t>Kojima Productions / Sony</t>
  </si>
  <si>
    <t>Action / Adventure</t>
  </si>
  <si>
    <t>A singular AAA experiment that became one of the medium's most discussed blockbuster releases.</t>
  </si>
  <si>
    <t>Death Stranding 2: On the Beach</t>
  </si>
  <si>
    <t>A major premium sequel with unusually ambitious production, traversal and cinematic presentation.</t>
  </si>
  <si>
    <t>Final Fantasy VII Remake</t>
  </si>
  <si>
    <t>Square Enix</t>
  </si>
  <si>
    <t>A major modern blockbuster RPG remake with strong combat and iconic characters.</t>
  </si>
  <si>
    <t>Final Fantasy XVI</t>
  </si>
  <si>
    <t>High-production-value fantasy action with spectacular set pieces and a strong cinematic identity.</t>
  </si>
  <si>
    <t>Final Fantasy XV</t>
  </si>
  <si>
    <t>A huge modern Final Fantasy road-trip RPG with a memorable world and blockbuster production.</t>
  </si>
  <si>
    <t>Kingdom Hearts II</t>
  </si>
  <si>
    <t>A major crossover action RPG with enduring mainstream recognition.</t>
  </si>
  <si>
    <t>NieR:Automata</t>
  </si>
  <si>
    <t>PlatinumGames / Square Enix</t>
  </si>
  <si>
    <t>A critically acclaimed action RPG known for philosophical storytelling and inventive structure.</t>
  </si>
  <si>
    <t>Diablo II</t>
  </si>
  <si>
    <t>Blizzard</t>
  </si>
  <si>
    <t>A foundational AAA action RPG with enormous influence on loot-driven game design.</t>
  </si>
  <si>
    <t>Diablo IV</t>
  </si>
  <si>
    <t>A major modern live-service action RPG and one of Blizzard's biggest launches.</t>
  </si>
  <si>
    <t>World of Warcraft</t>
  </si>
  <si>
    <t>MMORPG</t>
  </si>
  <si>
    <t>A defining AAA MMO that reshaped online gaming and gaming culture.</t>
  </si>
  <si>
    <t>StarCraft II: Wings of Liberty</t>
  </si>
  <si>
    <t>RTS</t>
  </si>
  <si>
    <t>One of the definitive modern competitive strategy games with enormous production value and esports impact.</t>
  </si>
  <si>
    <t>Warcraft III: Reign of Chaos</t>
  </si>
  <si>
    <t>A landmark AAA RTS with huge influence on strategy games and custom-map culture.</t>
  </si>
  <si>
    <t>Overwatch</t>
  </si>
  <si>
    <t>Hero Shooter</t>
  </si>
  <si>
    <t>A major modern multiplayer blockbuster with influential character-driven FPS design.</t>
  </si>
  <si>
    <t>Call of Duty: Modern Warfare 2</t>
  </si>
  <si>
    <t>One of the biggest shooter blockbusters of its era with huge cultural impact.</t>
  </si>
  <si>
    <t>Call of Duty: Black Ops</t>
  </si>
  <si>
    <t>Treyarch / Activision</t>
  </si>
  <si>
    <t>A hugely successful shooter with a memorable campaign and influential multiplayer.</t>
  </si>
  <si>
    <t>Call of Duty: Black Ops II</t>
  </si>
  <si>
    <t>A mainstream AAA FPS with branching campaign choices and a major multiplayer legacy.</t>
  </si>
  <si>
    <t>Battlefield 1</t>
  </si>
  <si>
    <t>One of the strongest recent Battlefield entries, with exceptional audiovisual presentation.</t>
  </si>
  <si>
    <t>Battlefield 3</t>
  </si>
  <si>
    <t>A hugely influential modern military shooter and major multiplayer-era blockbuster.</t>
  </si>
  <si>
    <t>Battlefield 4</t>
  </si>
  <si>
    <t>A large-scale multiplayer FPS that remains a core modern Battlefield experience.</t>
  </si>
  <si>
    <t>Metal Gear Solid V: The Phantom Pain</t>
  </si>
  <si>
    <t>Kojima Productions / Konami</t>
  </si>
  <si>
    <t>Open-world Action</t>
  </si>
  <si>
    <t>A technically ambitious open-world stealth game with extraordinary systems and freedom.</t>
  </si>
  <si>
    <t>Metal Gear Solid V: Ground Zeroes</t>
  </si>
  <si>
    <t>Hitman: World of Assassination</t>
  </si>
  <si>
    <t>IO Interactive</t>
  </si>
  <si>
    <t>Stealth / Action</t>
  </si>
  <si>
    <t>A modern stealth sandbox with extraordinary systemic freedom and replayability.</t>
  </si>
  <si>
    <t>Dishonored 2</t>
  </si>
  <si>
    <t>Deepens the original's systemic stealth/action sandbox with excellent level design.</t>
  </si>
  <si>
    <t>Prey</t>
  </si>
  <si>
    <t>Immersive Sim / FPS</t>
  </si>
  <si>
    <t>A cult AAA immersive sim with outstanding atmosphere, exploration and systemic problem-solving.</t>
  </si>
  <si>
    <t>The Evil Within 2</t>
  </si>
  <si>
    <t>Tango Gameworks / Bethesda</t>
  </si>
  <si>
    <t>A strong modern survival-horror sequel that balances open exploration and horror.</t>
  </si>
  <si>
    <t>Resident Evil 3</t>
  </si>
  <si>
    <t>A polished modern remake with strong presentation, though shorter and less expansive than RE2.</t>
  </si>
  <si>
    <t>Resident Evil Village</t>
  </si>
  <si>
    <t>A blockbuster horror-action hybrid with memorable atmosphere and production.</t>
  </si>
  <si>
    <t>Resident Evil 5</t>
  </si>
  <si>
    <t>Action / Survival Horror</t>
  </si>
  <si>
    <t>A major co-op action title and one of the franchise's most commercially significant releases.</t>
  </si>
  <si>
    <t>Shadow of Mordor</t>
  </si>
  <si>
    <t>Monolith / WB Games</t>
  </si>
  <si>
    <t>Introduced the influential Nemesis system to a mainstream open-world action formula.</t>
  </si>
  <si>
    <t>Middle-earth: Shadow of War</t>
  </si>
  <si>
    <t>Expanded the Nemesis system into a huge open-world action sequel.</t>
  </si>
  <si>
    <t>Hogwarts Legacy</t>
  </si>
  <si>
    <t>Avalanche Software / WB Games</t>
  </si>
  <si>
    <t>A major mainstream fantasy open world with huge audience reach and production scale.</t>
  </si>
  <si>
    <t>Marvel's Spider-Man 2</t>
  </si>
  <si>
    <t>Insomniac / Sony</t>
  </si>
  <si>
    <t>A major superhero sequel with high-end presentation, traversal and combat.</t>
  </si>
  <si>
    <t>Ratchet &amp; Clank: Rift Apart</t>
  </si>
  <si>
    <t>Action-Platformer</t>
  </si>
  <si>
    <t>A showcase of modern AAA platform-action presentation, visuals and seamless world transitions.</t>
  </si>
  <si>
    <t>Returnal</t>
  </si>
  <si>
    <t>Housemarque / Sony</t>
  </si>
  <si>
    <t>Third-person Roguelike Shooter</t>
  </si>
  <si>
    <t>A premium PlayStation action game with demanding combat, atmosphere and exceptional audiovisual production.</t>
  </si>
  <si>
    <t>Deathloop</t>
  </si>
  <si>
    <t>FPS / Immersive Sim</t>
  </si>
  <si>
    <t>An ambitious time-loop immersive sim that earned major critical acclaim.</t>
  </si>
  <si>
    <t>Days Gone</t>
  </si>
  <si>
    <t>Bend Studio / Sony</t>
  </si>
  <si>
    <t>A big-budget open world with strong atmosphere and a persistent motorcycle-focused identity.</t>
  </si>
  <si>
    <t>The Division</t>
  </si>
  <si>
    <t>Massive / Ubisoft</t>
  </si>
  <si>
    <t>Online Action RPG / Shooter</t>
  </si>
  <si>
    <t>A major online AAA shooter built around a detailed recreation of New York.</t>
  </si>
  <si>
    <t>The Division 2</t>
  </si>
  <si>
    <t>A refined looter-shooter with an unusually detailed urban open world.</t>
  </si>
  <si>
    <t>Assassin's Creed Origins</t>
  </si>
  <si>
    <t>A major reboot that shifted Assassin's Creed into a larger RPG framework.</t>
  </si>
  <si>
    <t>Assassin's Creed Odyssey</t>
  </si>
  <si>
    <t>Ubisoft Quebec / Ubisoft</t>
  </si>
  <si>
    <t>A huge ancient-Greece RPG with substantial exploration and choice.</t>
  </si>
  <si>
    <t>Assassin's Creed Valhalla</t>
  </si>
  <si>
    <t>A massive Viking-era open world with extensive questing and exploration.</t>
  </si>
  <si>
    <t>Watch Dogs 2</t>
  </si>
  <si>
    <t>A polished open-world sandbox with strong hacking systems and traversal.</t>
  </si>
  <si>
    <t>Sleeping Dogs</t>
  </si>
  <si>
    <t>United Front Games / Square Enix</t>
  </si>
  <si>
    <t>A highly regarded open-world crime game with standout hand-to-hand combat.</t>
  </si>
  <si>
    <t>Just Cause 3</t>
  </si>
  <si>
    <t>Avalanche Studios / Square Enix</t>
  </si>
  <si>
    <t>A pure blockbuster sandbox built around traversal, destruction and spectacle.</t>
  </si>
  <si>
    <t>Max Payne 3</t>
  </si>
  <si>
    <t>Rockstar Studios / Rockstar Games</t>
  </si>
  <si>
    <t>Third-person Shooter / Action</t>
  </si>
  <si>
    <t>A tightly produced Rockstar blockbuster with excellent shooting, pacing and cinematic presentation.</t>
  </si>
  <si>
    <t>Tomb Raider</t>
  </si>
  <si>
    <t>Crystal Dynamics / Square Enix</t>
  </si>
  <si>
    <t>A major AAA reboot that modernized Lara Croft with strong action, exploration and set pieces.</t>
  </si>
  <si>
    <t>Rise of the Tomb Raider</t>
  </si>
  <si>
    <t>A polished AAA adventure with strong traversal, tomb exploration and cinematic spectacle.</t>
  </si>
  <si>
    <t>L.A. Noire</t>
  </si>
  <si>
    <t>Team Bondi / Rockstar Games</t>
  </si>
  <si>
    <t>Action-Adventure / Detective</t>
  </si>
  <si>
    <t>A distinctive Rockstar-era AAA detective adventure with facial-performance technology and strong atmosphere.</t>
  </si>
  <si>
    <t>Crysis</t>
  </si>
  <si>
    <t>Representative covers; one version per title.</t>
  </si>
  <si>
    <t>AAA TOP 100 — RELEASE TIMELINE</t>
  </si>
  <si>
    <t>Tier</t>
  </si>
  <si>
    <t>TOP 50</t>
  </si>
  <si>
    <t>BOTTOM 50</t>
  </si>
  <si>
    <t>Scope</t>
  </si>
  <si>
    <t>Mainstream AAA / blockbuster / major-publisher flagship games, plus a small number of AAA-caliber premium exceptions that clearly belong in an essential modern-gaming list. Nintendo excluded.</t>
  </si>
  <si>
    <t>Ranking</t>
  </si>
  <si>
    <t>Curated must-play ranking, not a raw Metacritic leaderboard.</t>
  </si>
  <si>
    <t>Primary ranking signals</t>
  </si>
  <si>
    <t>Critical acclaim, lasting reputation, industry influence, cultural impact, design quality, production ambition and “must-play” status.</t>
  </si>
  <si>
    <t>Top 50 vs Bottom 50</t>
  </si>
  <si>
    <t>Ranks 1–50 are the core list. Ranks 51–100 are the next essential tier and are separated below.</t>
  </si>
  <si>
    <t>Review scores</t>
  </si>
  <si>
    <t>Native scales are retained where practical: /100 for Metacritic/PC Gamer and /10 for IGN/GameSpot.</t>
  </si>
  <si>
    <t>PC scores</t>
  </si>
  <si>
    <t>Metacritic PC is separated where a distinct PC metascore exists; blanks mean no separate value was carried into this snapshot.</t>
  </si>
  <si>
    <t>Converts /10 scores to /100 and averages available numeric critic scores. Supporting metric only.</t>
  </si>
  <si>
    <t>Rank 1 = 10.0; Rank 100 = 7.0, linearly decreasing across all 100 ranks. It reflects the curated ranking, not a separate review.</t>
  </si>
  <si>
    <t>Nintendo</t>
  </si>
  <si>
    <t>No Nintendo titles are included, so there is no redundant Yes/No column.</t>
  </si>
  <si>
    <t xml:space="preserve">BIG-TITLE POSTERS </t>
  </si>
  <si>
    <t>Resident Evil 4</t>
  </si>
  <si>
    <t>A benchmark survival-horror remake: masterful pacing, encounter design and combat that sharpen an all-time classic.</t>
  </si>
  <si>
    <t>Resident Evil Requiem</t>
  </si>
  <si>
    <t>The newest mainline Resident Evil: strong RE Engine horror craft and a well-received return to slower, tenser survival design.</t>
  </si>
  <si>
    <t>My rating</t>
  </si>
  <si>
    <t>43.2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</si>
</sst>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name val="Carlito"/>
    </font>
    <font>
      <b/>
      <sz val="20"/>
      <color rgb="FFFFFFFF"/>
      <name val="Carlito"/>
    </font>
    <font>
      <i/>
      <sz val="11"/>
      <color rgb="FF4B5563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2"/>
      <color rgb="FFFFFFFF"/>
      <name val="Carlito"/>
    </font>
    <font>
      <b/>
      <sz val="17"/>
      <color rgb="FFFFFFFF"/>
      <name val="Carlito"/>
    </font>
    <font>
      <b/>
      <sz val="14"/>
      <color rgb="FF111827"/>
      <name val="Carlito"/>
    </font>
    <font>
      <b/>
      <sz val="11"/>
      <name val="Carlito"/>
    </font>
    <font>
      <b/>
      <sz val="13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4B5563"/>
      </patternFill>
    </fill>
    <fill>
      <patternFill patternType="solid">
        <fgColor rgb="FFF3F4F6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0" xfId="0" applyAlignment="1">
      <alignment vertical="top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wrapText="1"/>
    </xf>
    <xf numFmtId="0" fontId="0" fillId="0" borderId="14" xfId="0" applyBorder="1" applyAlignment="1">
      <alignment horizontal="center" wrapText="1"/>
    </xf>
    <xf numFmtId="164" fontId="0" fillId="0" borderId="14" xfId="0" applyNumberFormat="1" applyBorder="1" applyAlignment="1">
      <alignment horizontal="center" wrapText="1"/>
    </xf>
    <xf numFmtId="0" fontId="8" fillId="7" borderId="0" xfId="0" applyFont="1" applyFill="1" applyAlignment="1">
      <alignment wrapText="1"/>
    </xf>
    <xf numFmtId="0" fontId="3" fillId="5" borderId="0" xfId="0" applyFont="1" applyFill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4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4" fillId="4" borderId="0" xfId="0" applyFont="1" applyFill="1" applyAlignment="1">
      <alignment horizontal="center"/>
    </xf>
    <xf numFmtId="0" fontId="2" fillId="0" borderId="0" xfId="0" applyFont="1"/>
    <xf numFmtId="0" fontId="5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8.jpeg"/><Relationship Id="rId3" Type="http://schemas.openxmlformats.org/officeDocument/2006/relationships/image" Target="../media/image103.jpeg"/><Relationship Id="rId7" Type="http://schemas.openxmlformats.org/officeDocument/2006/relationships/image" Target="../media/image107.jpeg"/><Relationship Id="rId2" Type="http://schemas.openxmlformats.org/officeDocument/2006/relationships/image" Target="../media/image102.jpeg"/><Relationship Id="rId1" Type="http://schemas.openxmlformats.org/officeDocument/2006/relationships/image" Target="../media/image101.jpeg"/><Relationship Id="rId6" Type="http://schemas.openxmlformats.org/officeDocument/2006/relationships/image" Target="../media/image106.jpeg"/><Relationship Id="rId5" Type="http://schemas.openxmlformats.org/officeDocument/2006/relationships/image" Target="../media/image105.jpeg"/><Relationship Id="rId4" Type="http://schemas.openxmlformats.org/officeDocument/2006/relationships/image" Target="../media/image104.jpeg"/><Relationship Id="rId9" Type="http://schemas.openxmlformats.org/officeDocument/2006/relationships/image" Target="../media/image10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2381250</xdr:colOff>
      <xdr:row>4</xdr:row>
      <xdr:rowOff>19050</xdr:rowOff>
    </xdr:from>
    <xdr:ext cx="619125" cy="762000"/>
    <xdr:pic>
      <xdr:nvPicPr>
        <xdr:cNvPr id="202" name="P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5</xdr:row>
      <xdr:rowOff>19050</xdr:rowOff>
    </xdr:from>
    <xdr:ext cx="523875" cy="762000"/>
    <xdr:pic>
      <xdr:nvPicPr>
        <xdr:cNvPr id="203" name="P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238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6</xdr:row>
      <xdr:rowOff>19050</xdr:rowOff>
    </xdr:from>
    <xdr:ext cx="504825" cy="762000"/>
    <xdr:pic>
      <xdr:nvPicPr>
        <xdr:cNvPr id="204" name="P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048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7</xdr:row>
      <xdr:rowOff>19050</xdr:rowOff>
    </xdr:from>
    <xdr:ext cx="571500" cy="762000"/>
    <xdr:pic>
      <xdr:nvPicPr>
        <xdr:cNvPr id="207" name="P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8</xdr:row>
      <xdr:rowOff>19050</xdr:rowOff>
    </xdr:from>
    <xdr:ext cx="571500" cy="762000"/>
    <xdr:pic>
      <xdr:nvPicPr>
        <xdr:cNvPr id="208" name="P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9</xdr:row>
      <xdr:rowOff>19050</xdr:rowOff>
    </xdr:from>
    <xdr:ext cx="619125" cy="762000"/>
    <xdr:pic>
      <xdr:nvPicPr>
        <xdr:cNvPr id="205" name="P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10</xdr:row>
      <xdr:rowOff>19050</xdr:rowOff>
    </xdr:from>
    <xdr:ext cx="609600" cy="762000"/>
    <xdr:pic>
      <xdr:nvPicPr>
        <xdr:cNvPr id="209" name="P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6096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11</xdr:row>
      <xdr:rowOff>19050</xdr:rowOff>
    </xdr:from>
    <xdr:ext cx="619125" cy="762000"/>
    <xdr:pic>
      <xdr:nvPicPr>
        <xdr:cNvPr id="210" name="P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12</xdr:row>
      <xdr:rowOff>19050</xdr:rowOff>
    </xdr:from>
    <xdr:ext cx="619125" cy="762000"/>
    <xdr:pic>
      <xdr:nvPicPr>
        <xdr:cNvPr id="206" name="P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13</xdr:row>
      <xdr:rowOff>19050</xdr:rowOff>
    </xdr:from>
    <xdr:ext cx="542925" cy="762000"/>
    <xdr:pic>
      <xdr:nvPicPr>
        <xdr:cNvPr id="211" name="P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5429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14</xdr:row>
      <xdr:rowOff>19050</xdr:rowOff>
    </xdr:from>
    <xdr:ext cx="561975" cy="762000"/>
    <xdr:pic>
      <xdr:nvPicPr>
        <xdr:cNvPr id="212" name="P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5619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15</xdr:row>
      <xdr:rowOff>19050</xdr:rowOff>
    </xdr:from>
    <xdr:ext cx="504825" cy="762000"/>
    <xdr:pic>
      <xdr:nvPicPr>
        <xdr:cNvPr id="213" name="P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5048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16</xdr:row>
      <xdr:rowOff>19050</xdr:rowOff>
    </xdr:from>
    <xdr:ext cx="561975" cy="762000"/>
    <xdr:pic>
      <xdr:nvPicPr>
        <xdr:cNvPr id="214" name="P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5619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17</xdr:row>
      <xdr:rowOff>19050</xdr:rowOff>
    </xdr:from>
    <xdr:ext cx="542925" cy="762000"/>
    <xdr:pic>
      <xdr:nvPicPr>
        <xdr:cNvPr id="215" name="P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5429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18</xdr:row>
      <xdr:rowOff>19050</xdr:rowOff>
    </xdr:from>
    <xdr:ext cx="571500" cy="762000"/>
    <xdr:pic>
      <xdr:nvPicPr>
        <xdr:cNvPr id="216" name="P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19</xdr:row>
      <xdr:rowOff>19050</xdr:rowOff>
    </xdr:from>
    <xdr:ext cx="581025" cy="762000"/>
    <xdr:pic>
      <xdr:nvPicPr>
        <xdr:cNvPr id="217" name="P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5810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20</xdr:row>
      <xdr:rowOff>19050</xdr:rowOff>
    </xdr:from>
    <xdr:ext cx="619125" cy="762000"/>
    <xdr:pic>
      <xdr:nvPicPr>
        <xdr:cNvPr id="218" name="P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21</xdr:row>
      <xdr:rowOff>19050</xdr:rowOff>
    </xdr:from>
    <xdr:ext cx="571500" cy="762000"/>
    <xdr:pic>
      <xdr:nvPicPr>
        <xdr:cNvPr id="219" name="P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22</xdr:row>
      <xdr:rowOff>19050</xdr:rowOff>
    </xdr:from>
    <xdr:ext cx="619125" cy="762000"/>
    <xdr:pic>
      <xdr:nvPicPr>
        <xdr:cNvPr id="220" name="P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23</xdr:row>
      <xdr:rowOff>19050</xdr:rowOff>
    </xdr:from>
    <xdr:ext cx="552450" cy="762000"/>
    <xdr:pic>
      <xdr:nvPicPr>
        <xdr:cNvPr id="221" name="P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55245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24</xdr:row>
      <xdr:rowOff>19050</xdr:rowOff>
    </xdr:from>
    <xdr:ext cx="457200" cy="762000"/>
    <xdr:pic>
      <xdr:nvPicPr>
        <xdr:cNvPr id="222" name="P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4572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25</xdr:row>
      <xdr:rowOff>19050</xdr:rowOff>
    </xdr:from>
    <xdr:ext cx="581025" cy="762000"/>
    <xdr:pic>
      <xdr:nvPicPr>
        <xdr:cNvPr id="223" name="P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5810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26</xdr:row>
      <xdr:rowOff>19050</xdr:rowOff>
    </xdr:from>
    <xdr:ext cx="600075" cy="762000"/>
    <xdr:pic>
      <xdr:nvPicPr>
        <xdr:cNvPr id="224" name="P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6000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27</xdr:row>
      <xdr:rowOff>19050</xdr:rowOff>
    </xdr:from>
    <xdr:ext cx="504825" cy="762000"/>
    <xdr:pic>
      <xdr:nvPicPr>
        <xdr:cNvPr id="225" name="P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5048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28</xdr:row>
      <xdr:rowOff>19050</xdr:rowOff>
    </xdr:from>
    <xdr:ext cx="552450" cy="762000"/>
    <xdr:pic>
      <xdr:nvPicPr>
        <xdr:cNvPr id="226" name="P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55245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29</xdr:row>
      <xdr:rowOff>19050</xdr:rowOff>
    </xdr:from>
    <xdr:ext cx="647700" cy="762000"/>
    <xdr:pic>
      <xdr:nvPicPr>
        <xdr:cNvPr id="227" name="P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6477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30</xdr:row>
      <xdr:rowOff>19050</xdr:rowOff>
    </xdr:from>
    <xdr:ext cx="504825" cy="762000"/>
    <xdr:pic>
      <xdr:nvPicPr>
        <xdr:cNvPr id="1011" name="P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5048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31</xdr:row>
      <xdr:rowOff>19050</xdr:rowOff>
    </xdr:from>
    <xdr:ext cx="571500" cy="762000"/>
    <xdr:pic>
      <xdr:nvPicPr>
        <xdr:cNvPr id="229" name="P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32</xdr:row>
      <xdr:rowOff>19050</xdr:rowOff>
    </xdr:from>
    <xdr:ext cx="571500" cy="762000"/>
    <xdr:pic>
      <xdr:nvPicPr>
        <xdr:cNvPr id="230" name="P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33</xdr:row>
      <xdr:rowOff>19050</xdr:rowOff>
    </xdr:from>
    <xdr:ext cx="542925" cy="762000"/>
    <xdr:pic>
      <xdr:nvPicPr>
        <xdr:cNvPr id="231" name="P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5429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34</xdr:row>
      <xdr:rowOff>19050</xdr:rowOff>
    </xdr:from>
    <xdr:ext cx="542925" cy="762000"/>
    <xdr:pic>
      <xdr:nvPicPr>
        <xdr:cNvPr id="232" name="P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5429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35</xdr:row>
      <xdr:rowOff>19050</xdr:rowOff>
    </xdr:from>
    <xdr:ext cx="523875" cy="762000"/>
    <xdr:pic>
      <xdr:nvPicPr>
        <xdr:cNvPr id="233" name="P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5238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36</xdr:row>
      <xdr:rowOff>19050</xdr:rowOff>
    </xdr:from>
    <xdr:ext cx="581025" cy="762000"/>
    <xdr:pic>
      <xdr:nvPicPr>
        <xdr:cNvPr id="234" name="P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5810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37</xdr:row>
      <xdr:rowOff>19050</xdr:rowOff>
    </xdr:from>
    <xdr:ext cx="619125" cy="762000"/>
    <xdr:pic>
      <xdr:nvPicPr>
        <xdr:cNvPr id="235" name="P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38</xdr:row>
      <xdr:rowOff>19050</xdr:rowOff>
    </xdr:from>
    <xdr:ext cx="542925" cy="762000"/>
    <xdr:pic>
      <xdr:nvPicPr>
        <xdr:cNvPr id="236" name="P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5429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39</xdr:row>
      <xdr:rowOff>19050</xdr:rowOff>
    </xdr:from>
    <xdr:ext cx="600075" cy="762000"/>
    <xdr:pic>
      <xdr:nvPicPr>
        <xdr:cNvPr id="237" name="P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6000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40</xdr:row>
      <xdr:rowOff>19050</xdr:rowOff>
    </xdr:from>
    <xdr:ext cx="581025" cy="762000"/>
    <xdr:pic>
      <xdr:nvPicPr>
        <xdr:cNvPr id="238" name="P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5810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41</xdr:row>
      <xdr:rowOff>19050</xdr:rowOff>
    </xdr:from>
    <xdr:ext cx="571500" cy="762000"/>
    <xdr:pic>
      <xdr:nvPicPr>
        <xdr:cNvPr id="239" name="P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42</xdr:row>
      <xdr:rowOff>19050</xdr:rowOff>
    </xdr:from>
    <xdr:ext cx="571500" cy="762000"/>
    <xdr:pic>
      <xdr:nvPicPr>
        <xdr:cNvPr id="240" name="P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43</xdr:row>
      <xdr:rowOff>19050</xdr:rowOff>
    </xdr:from>
    <xdr:ext cx="571500" cy="762000"/>
    <xdr:pic>
      <xdr:nvPicPr>
        <xdr:cNvPr id="241" name="P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44</xdr:row>
      <xdr:rowOff>19050</xdr:rowOff>
    </xdr:from>
    <xdr:ext cx="571500" cy="762000"/>
    <xdr:pic>
      <xdr:nvPicPr>
        <xdr:cNvPr id="1012" name="P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45</xdr:row>
      <xdr:rowOff>19050</xdr:rowOff>
    </xdr:from>
    <xdr:ext cx="571500" cy="762000"/>
    <xdr:pic>
      <xdr:nvPicPr>
        <xdr:cNvPr id="242" name="P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46</xdr:row>
      <xdr:rowOff>19050</xdr:rowOff>
    </xdr:from>
    <xdr:ext cx="561975" cy="762000"/>
    <xdr:pic>
      <xdr:nvPicPr>
        <xdr:cNvPr id="243" name="P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5619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47</xdr:row>
      <xdr:rowOff>19050</xdr:rowOff>
    </xdr:from>
    <xdr:ext cx="609600" cy="762000"/>
    <xdr:pic>
      <xdr:nvPicPr>
        <xdr:cNvPr id="244" name="P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6096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48</xdr:row>
      <xdr:rowOff>19050</xdr:rowOff>
    </xdr:from>
    <xdr:ext cx="638175" cy="762000"/>
    <xdr:pic>
      <xdr:nvPicPr>
        <xdr:cNvPr id="245" name="P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6381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49</xdr:row>
      <xdr:rowOff>19050</xdr:rowOff>
    </xdr:from>
    <xdr:ext cx="600075" cy="762000"/>
    <xdr:pic>
      <xdr:nvPicPr>
        <xdr:cNvPr id="246" name="P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6000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50</xdr:row>
      <xdr:rowOff>19050</xdr:rowOff>
    </xdr:from>
    <xdr:ext cx="571500" cy="762000"/>
    <xdr:pic>
      <xdr:nvPicPr>
        <xdr:cNvPr id="247" name="P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51</xdr:row>
      <xdr:rowOff>19050</xdr:rowOff>
    </xdr:from>
    <xdr:ext cx="571500" cy="762000"/>
    <xdr:pic>
      <xdr:nvPicPr>
        <xdr:cNvPr id="248" name="P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52</xdr:row>
      <xdr:rowOff>19050</xdr:rowOff>
    </xdr:from>
    <xdr:ext cx="571500" cy="762000"/>
    <xdr:pic>
      <xdr:nvPicPr>
        <xdr:cNvPr id="249" name="P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53</xdr:row>
      <xdr:rowOff>19050</xdr:rowOff>
    </xdr:from>
    <xdr:ext cx="571500" cy="762000"/>
    <xdr:pic>
      <xdr:nvPicPr>
        <xdr:cNvPr id="250" name="P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55</xdr:row>
      <xdr:rowOff>19050</xdr:rowOff>
    </xdr:from>
    <xdr:ext cx="571500" cy="762000"/>
    <xdr:pic>
      <xdr:nvPicPr>
        <xdr:cNvPr id="251" name="P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56</xdr:row>
      <xdr:rowOff>19050</xdr:rowOff>
    </xdr:from>
    <xdr:ext cx="571500" cy="762000"/>
    <xdr:pic>
      <xdr:nvPicPr>
        <xdr:cNvPr id="252" name="P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57</xdr:row>
      <xdr:rowOff>19050</xdr:rowOff>
    </xdr:from>
    <xdr:ext cx="571500" cy="762000"/>
    <xdr:pic>
      <xdr:nvPicPr>
        <xdr:cNvPr id="253" name="P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58</xdr:row>
      <xdr:rowOff>19050</xdr:rowOff>
    </xdr:from>
    <xdr:ext cx="571500" cy="762000"/>
    <xdr:pic>
      <xdr:nvPicPr>
        <xdr:cNvPr id="254" name="P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59</xdr:row>
      <xdr:rowOff>19050</xdr:rowOff>
    </xdr:from>
    <xdr:ext cx="533400" cy="762000"/>
    <xdr:pic>
      <xdr:nvPicPr>
        <xdr:cNvPr id="255" name="P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60</xdr:row>
      <xdr:rowOff>19050</xdr:rowOff>
    </xdr:from>
    <xdr:ext cx="695325" cy="762000"/>
    <xdr:pic>
      <xdr:nvPicPr>
        <xdr:cNvPr id="256" name="P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6953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61</xdr:row>
      <xdr:rowOff>19050</xdr:rowOff>
    </xdr:from>
    <xdr:ext cx="600075" cy="762000"/>
    <xdr:pic>
      <xdr:nvPicPr>
        <xdr:cNvPr id="257" name="P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6000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62</xdr:row>
      <xdr:rowOff>19050</xdr:rowOff>
    </xdr:from>
    <xdr:ext cx="571500" cy="762000"/>
    <xdr:pic>
      <xdr:nvPicPr>
        <xdr:cNvPr id="258" name="P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63</xdr:row>
      <xdr:rowOff>19050</xdr:rowOff>
    </xdr:from>
    <xdr:ext cx="638175" cy="762000"/>
    <xdr:pic>
      <xdr:nvPicPr>
        <xdr:cNvPr id="259" name="P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6381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64</xdr:row>
      <xdr:rowOff>19050</xdr:rowOff>
    </xdr:from>
    <xdr:ext cx="504825" cy="762000"/>
    <xdr:pic>
      <xdr:nvPicPr>
        <xdr:cNvPr id="260" name="P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5048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65</xdr:row>
      <xdr:rowOff>19050</xdr:rowOff>
    </xdr:from>
    <xdr:ext cx="571500" cy="762000"/>
    <xdr:pic>
      <xdr:nvPicPr>
        <xdr:cNvPr id="261" name="P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66</xdr:row>
      <xdr:rowOff>19050</xdr:rowOff>
    </xdr:from>
    <xdr:ext cx="533400" cy="762000"/>
    <xdr:pic>
      <xdr:nvPicPr>
        <xdr:cNvPr id="262" name="P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67</xdr:row>
      <xdr:rowOff>19050</xdr:rowOff>
    </xdr:from>
    <xdr:ext cx="542925" cy="762000"/>
    <xdr:pic>
      <xdr:nvPicPr>
        <xdr:cNvPr id="263" name="P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5429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68</xdr:row>
      <xdr:rowOff>19050</xdr:rowOff>
    </xdr:from>
    <xdr:ext cx="542925" cy="762000"/>
    <xdr:pic>
      <xdr:nvPicPr>
        <xdr:cNvPr id="264" name="P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5429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69</xdr:row>
      <xdr:rowOff>19050</xdr:rowOff>
    </xdr:from>
    <xdr:ext cx="533400" cy="762000"/>
    <xdr:pic>
      <xdr:nvPicPr>
        <xdr:cNvPr id="265" name="P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70</xdr:row>
      <xdr:rowOff>19050</xdr:rowOff>
    </xdr:from>
    <xdr:ext cx="523875" cy="762000"/>
    <xdr:pic>
      <xdr:nvPicPr>
        <xdr:cNvPr id="266" name="P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5238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71</xdr:row>
      <xdr:rowOff>19050</xdr:rowOff>
    </xdr:from>
    <xdr:ext cx="542925" cy="762000"/>
    <xdr:pic>
      <xdr:nvPicPr>
        <xdr:cNvPr id="267" name="P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5429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72</xdr:row>
      <xdr:rowOff>19050</xdr:rowOff>
    </xdr:from>
    <xdr:ext cx="552450" cy="762000"/>
    <xdr:pic>
      <xdr:nvPicPr>
        <xdr:cNvPr id="268" name="P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55245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73</xdr:row>
      <xdr:rowOff>19050</xdr:rowOff>
    </xdr:from>
    <xdr:ext cx="504825" cy="762000"/>
    <xdr:pic>
      <xdr:nvPicPr>
        <xdr:cNvPr id="269" name="P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5048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74</xdr:row>
      <xdr:rowOff>19050</xdr:rowOff>
    </xdr:from>
    <xdr:ext cx="523875" cy="762000"/>
    <xdr:pic>
      <xdr:nvPicPr>
        <xdr:cNvPr id="270" name="P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5238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75</xdr:row>
      <xdr:rowOff>19050</xdr:rowOff>
    </xdr:from>
    <xdr:ext cx="523875" cy="762000"/>
    <xdr:pic>
      <xdr:nvPicPr>
        <xdr:cNvPr id="271" name="P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5238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76</xdr:row>
      <xdr:rowOff>19050</xdr:rowOff>
    </xdr:from>
    <xdr:ext cx="571500" cy="762000"/>
    <xdr:pic>
      <xdr:nvPicPr>
        <xdr:cNvPr id="272" name="P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77</xdr:row>
      <xdr:rowOff>19050</xdr:rowOff>
    </xdr:from>
    <xdr:ext cx="590550" cy="762000"/>
    <xdr:pic>
      <xdr:nvPicPr>
        <xdr:cNvPr id="274" name="P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59055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78</xdr:row>
      <xdr:rowOff>19050</xdr:rowOff>
    </xdr:from>
    <xdr:ext cx="619125" cy="762000"/>
    <xdr:pic>
      <xdr:nvPicPr>
        <xdr:cNvPr id="275" name="P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79</xdr:row>
      <xdr:rowOff>19050</xdr:rowOff>
    </xdr:from>
    <xdr:ext cx="571500" cy="762000"/>
    <xdr:pic>
      <xdr:nvPicPr>
        <xdr:cNvPr id="276" name="P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80</xdr:row>
      <xdr:rowOff>19050</xdr:rowOff>
    </xdr:from>
    <xdr:ext cx="619125" cy="762000"/>
    <xdr:pic>
      <xdr:nvPicPr>
        <xdr:cNvPr id="277" name="P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81</xdr:row>
      <xdr:rowOff>19050</xdr:rowOff>
    </xdr:from>
    <xdr:ext cx="514350" cy="762000"/>
    <xdr:pic>
      <xdr:nvPicPr>
        <xdr:cNvPr id="228" name="P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51435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82</xdr:row>
      <xdr:rowOff>19050</xdr:rowOff>
    </xdr:from>
    <xdr:ext cx="571500" cy="762000"/>
    <xdr:pic>
      <xdr:nvPicPr>
        <xdr:cNvPr id="278" name="P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83</xdr:row>
      <xdr:rowOff>19050</xdr:rowOff>
    </xdr:from>
    <xdr:ext cx="504825" cy="762000"/>
    <xdr:pic>
      <xdr:nvPicPr>
        <xdr:cNvPr id="279" name="P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5048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84</xdr:row>
      <xdr:rowOff>19050</xdr:rowOff>
    </xdr:from>
    <xdr:ext cx="619125" cy="762000"/>
    <xdr:pic>
      <xdr:nvPicPr>
        <xdr:cNvPr id="280" name="P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85</xdr:row>
      <xdr:rowOff>19050</xdr:rowOff>
    </xdr:from>
    <xdr:ext cx="571500" cy="762000"/>
    <xdr:pic>
      <xdr:nvPicPr>
        <xdr:cNvPr id="281" name="P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86</xdr:row>
      <xdr:rowOff>19050</xdr:rowOff>
    </xdr:from>
    <xdr:ext cx="571500" cy="762000"/>
    <xdr:pic>
      <xdr:nvPicPr>
        <xdr:cNvPr id="282" name="P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87</xdr:row>
      <xdr:rowOff>19050</xdr:rowOff>
    </xdr:from>
    <xdr:ext cx="504825" cy="762000"/>
    <xdr:pic>
      <xdr:nvPicPr>
        <xdr:cNvPr id="283" name="P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5048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88</xdr:row>
      <xdr:rowOff>19050</xdr:rowOff>
    </xdr:from>
    <xdr:ext cx="638175" cy="762000"/>
    <xdr:pic>
      <xdr:nvPicPr>
        <xdr:cNvPr id="284" name="P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6381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89</xdr:row>
      <xdr:rowOff>19050</xdr:rowOff>
    </xdr:from>
    <xdr:ext cx="590550" cy="762000"/>
    <xdr:pic>
      <xdr:nvPicPr>
        <xdr:cNvPr id="285" name="P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59055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90</xdr:row>
      <xdr:rowOff>19050</xdr:rowOff>
    </xdr:from>
    <xdr:ext cx="571500" cy="762000"/>
    <xdr:pic>
      <xdr:nvPicPr>
        <xdr:cNvPr id="286" name="P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91</xdr:row>
      <xdr:rowOff>19050</xdr:rowOff>
    </xdr:from>
    <xdr:ext cx="619125" cy="762000"/>
    <xdr:pic>
      <xdr:nvPicPr>
        <xdr:cNvPr id="287" name="P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92</xdr:row>
      <xdr:rowOff>19050</xdr:rowOff>
    </xdr:from>
    <xdr:ext cx="762000" cy="762000"/>
    <xdr:pic>
      <xdr:nvPicPr>
        <xdr:cNvPr id="288" name="P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7620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93</xdr:row>
      <xdr:rowOff>19050</xdr:rowOff>
    </xdr:from>
    <xdr:ext cx="581025" cy="762000"/>
    <xdr:pic>
      <xdr:nvPicPr>
        <xdr:cNvPr id="289" name="P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5810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94</xdr:row>
      <xdr:rowOff>19050</xdr:rowOff>
    </xdr:from>
    <xdr:ext cx="581025" cy="762000"/>
    <xdr:pic>
      <xdr:nvPicPr>
        <xdr:cNvPr id="290" name="P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5810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95</xdr:row>
      <xdr:rowOff>19050</xdr:rowOff>
    </xdr:from>
    <xdr:ext cx="609600" cy="762000"/>
    <xdr:pic>
      <xdr:nvPicPr>
        <xdr:cNvPr id="291" name="P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6096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96</xdr:row>
      <xdr:rowOff>19050</xdr:rowOff>
    </xdr:from>
    <xdr:ext cx="581025" cy="762000"/>
    <xdr:pic>
      <xdr:nvPicPr>
        <xdr:cNvPr id="292" name="P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5810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97</xdr:row>
      <xdr:rowOff>19050</xdr:rowOff>
    </xdr:from>
    <xdr:ext cx="581025" cy="762000"/>
    <xdr:pic>
      <xdr:nvPicPr>
        <xdr:cNvPr id="293" name="P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5810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98</xdr:row>
      <xdr:rowOff>19050</xdr:rowOff>
    </xdr:from>
    <xdr:ext cx="581025" cy="762000"/>
    <xdr:pic>
      <xdr:nvPicPr>
        <xdr:cNvPr id="294" name="P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5810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99</xdr:row>
      <xdr:rowOff>19050</xdr:rowOff>
    </xdr:from>
    <xdr:ext cx="581025" cy="762000"/>
    <xdr:pic>
      <xdr:nvPicPr>
        <xdr:cNvPr id="295" name="P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5810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100</xdr:row>
      <xdr:rowOff>19050</xdr:rowOff>
    </xdr:from>
    <xdr:ext cx="638175" cy="762000"/>
    <xdr:pic>
      <xdr:nvPicPr>
        <xdr:cNvPr id="296" name="P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63817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101</xdr:row>
      <xdr:rowOff>19050</xdr:rowOff>
    </xdr:from>
    <xdr:ext cx="619125" cy="762000"/>
    <xdr:pic>
      <xdr:nvPicPr>
        <xdr:cNvPr id="297" name="P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619125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102</xdr:row>
      <xdr:rowOff>19050</xdr:rowOff>
    </xdr:from>
    <xdr:ext cx="571500" cy="762000"/>
    <xdr:pic>
      <xdr:nvPicPr>
        <xdr:cNvPr id="298" name="P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103</xdr:row>
      <xdr:rowOff>19050</xdr:rowOff>
    </xdr:from>
    <xdr:ext cx="571500" cy="762000"/>
    <xdr:pic>
      <xdr:nvPicPr>
        <xdr:cNvPr id="299" name="P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  <xdr:oneCellAnchor>
    <xdr:from>
      <xdr:col>1</xdr:col>
      <xdr:colOff>2381250</xdr:colOff>
      <xdr:row>104</xdr:row>
      <xdr:rowOff>19050</xdr:rowOff>
    </xdr:from>
    <xdr:ext cx="571500" cy="762000"/>
    <xdr:pic>
      <xdr:nvPicPr>
        <xdr:cNvPr id="300" name="P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19050</xdr:rowOff>
    </xdr:from>
    <xdr:ext cx="1428750" cy="1762125"/>
    <xdr:pic>
      <xdr:nvPicPr>
        <xdr:cNvPr id="2" name="P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8750" cy="17621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19050</xdr:rowOff>
    </xdr:from>
    <xdr:ext cx="1428750" cy="2066925"/>
    <xdr:pic>
      <xdr:nvPicPr>
        <xdr:cNvPr id="3" name="P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28750" cy="2066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19050</xdr:rowOff>
    </xdr:from>
    <xdr:ext cx="1428750" cy="1762125"/>
    <xdr:pic>
      <xdr:nvPicPr>
        <xdr:cNvPr id="4" name="P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428750" cy="17621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19050</xdr:rowOff>
    </xdr:from>
    <xdr:ext cx="1428750" cy="1905000"/>
    <xdr:pic>
      <xdr:nvPicPr>
        <xdr:cNvPr id="5" name="P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428750" cy="190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19050</xdr:rowOff>
    </xdr:from>
    <xdr:ext cx="1428750" cy="1771650"/>
    <xdr:pic>
      <xdr:nvPicPr>
        <xdr:cNvPr id="6" name="P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428750" cy="17716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19050</xdr:rowOff>
    </xdr:from>
    <xdr:ext cx="1428750" cy="2143125"/>
    <xdr:pic>
      <xdr:nvPicPr>
        <xdr:cNvPr id="7" name="P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428750" cy="2143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19050</xdr:rowOff>
    </xdr:from>
    <xdr:ext cx="1428750" cy="1895475"/>
    <xdr:pic>
      <xdr:nvPicPr>
        <xdr:cNvPr id="8" name="P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428750" cy="18954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19050</xdr:rowOff>
    </xdr:from>
    <xdr:ext cx="1428750" cy="1905000"/>
    <xdr:pic>
      <xdr:nvPicPr>
        <xdr:cNvPr id="9" name="P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428750" cy="190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19050</xdr:rowOff>
    </xdr:from>
    <xdr:ext cx="1428750" cy="1924050"/>
    <xdr:pic>
      <xdr:nvPicPr>
        <xdr:cNvPr id="10" name="P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428750" cy="19240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AATop50Table" displayName="AAATop50Table" ref="A4:M54" totalsRowShown="0">
  <tableColumns count="13">
    <tableColumn id="1" xr3:uid="{00000000-0010-0000-0000-000001000000}" name="Rank"/>
    <tableColumn id="2" xr3:uid="{00000000-0010-0000-0000-000002000000}" name="Game"/>
    <tableColumn id="3" xr3:uid="{00000000-0010-0000-0000-000003000000}" name="Year"/>
    <tableColumn id="4" xr3:uid="{00000000-0010-0000-0000-000004000000}" name="Publisher / Studio"/>
    <tableColumn id="5" xr3:uid="{00000000-0010-0000-0000-000005000000}" name="Genre"/>
    <tableColumn id="6" xr3:uid="{00000000-0010-0000-0000-000006000000}" name="Metacritic /100"/>
    <tableColumn id="7" xr3:uid="{00000000-0010-0000-0000-000007000000}" name="Metacritic PC /100"/>
    <tableColumn id="8" xr3:uid="{00000000-0010-0000-0000-000008000000}" name="IGN /10"/>
    <tableColumn id="9" xr3:uid="{00000000-0010-0000-0000-000009000000}" name="GameSpot /10"/>
    <tableColumn id="10" xr3:uid="{00000000-0010-0000-0000-00000A000000}" name="PC Gamer /100"/>
    <tableColumn id="11" xr3:uid="{00000000-0010-0000-0000-00000B000000}" name="43.2"/>
    <tableColumn id="12" xr3:uid="{00000000-0010-0000-0000-00000C000000}" name="my rating(based on rank)"/>
    <tableColumn id="13" xr3:uid="{00000000-0010-0000-0000-00000D000000}" name="Why it ranks he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5"/>
  <sheetViews>
    <sheetView topLeftCell="A21" workbookViewId="0">
      <selection activeCell="K4" sqref="K4"/>
    </sheetView>
  </sheetViews>
  <sheetFormatPr defaultRowHeight="14.25"/>
  <cols>
    <col min="1" max="1" width="7" customWidth="1"/>
    <col min="2" max="2" width="45" customWidth="1"/>
    <col min="3" max="3" width="8" customWidth="1"/>
    <col min="4" max="5" width="29" customWidth="1"/>
    <col min="6" max="6" width="15" customWidth="1"/>
    <col min="7" max="7" width="17" customWidth="1"/>
    <col min="8" max="8" width="10" customWidth="1"/>
    <col min="9" max="9" width="13" customWidth="1"/>
    <col min="10" max="10" width="15" customWidth="1"/>
    <col min="11" max="11" width="19" customWidth="1"/>
    <col min="12" max="12" width="21" customWidth="1"/>
    <col min="13" max="13" width="58" customWidth="1"/>
  </cols>
  <sheetData>
    <row r="1" spans="1:15" ht="26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>
      <c r="A2" s="35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4" spans="1:15" ht="30">
      <c r="A4" s="13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327</v>
      </c>
      <c r="L4" s="14" t="s">
        <v>13</v>
      </c>
      <c r="M4" s="14" t="s">
        <v>14</v>
      </c>
    </row>
    <row r="5" spans="1:15" ht="63" customHeight="1">
      <c r="A5" s="15">
        <v>1</v>
      </c>
      <c r="B5" s="6" t="s">
        <v>15</v>
      </c>
      <c r="C5" s="5">
        <v>2018</v>
      </c>
      <c r="D5" s="6" t="s">
        <v>16</v>
      </c>
      <c r="E5" s="6" t="s">
        <v>17</v>
      </c>
      <c r="F5" s="5">
        <v>97</v>
      </c>
      <c r="G5" s="5">
        <v>93</v>
      </c>
      <c r="H5" s="5">
        <v>10</v>
      </c>
      <c r="I5" s="5">
        <v>9</v>
      </c>
      <c r="J5" s="5"/>
      <c r="K5" s="4">
        <f t="shared" ref="K4:K35" si="0">IF((COUNT(F5,G5,J5)+IF(H5="",0,1)+IF(I5="",0,1))=0,"",(SUM(F5,G5,J5)+IF(H5="",0,H5*10)+IF(I5="",0,I5*10))/(COUNT(F5,G5,J5)+IF(H5="",0,1)+IF(I5="",0,1)))</f>
        <v>95</v>
      </c>
      <c r="L5" s="7">
        <f>10-((A5-1)*(3/99))</f>
        <v>10</v>
      </c>
      <c r="M5" s="6" t="s">
        <v>18</v>
      </c>
    </row>
    <row r="6" spans="1:15" ht="63" customHeight="1">
      <c r="A6" s="15">
        <v>2</v>
      </c>
      <c r="B6" s="6" t="s">
        <v>19</v>
      </c>
      <c r="C6" s="5">
        <v>2010</v>
      </c>
      <c r="D6" s="6" t="s">
        <v>20</v>
      </c>
      <c r="E6" s="6" t="s">
        <v>21</v>
      </c>
      <c r="F6" s="5">
        <v>96</v>
      </c>
      <c r="G6" s="5">
        <v>94</v>
      </c>
      <c r="H6" s="5">
        <v>9.6</v>
      </c>
      <c r="I6" s="5">
        <v>9</v>
      </c>
      <c r="J6" s="5">
        <v>90</v>
      </c>
      <c r="K6" s="7">
        <f t="shared" si="0"/>
        <v>93.2</v>
      </c>
      <c r="L6" s="7">
        <f>10-((A6-1)*(3/99))</f>
        <v>9.9696969696969688</v>
      </c>
      <c r="M6" s="6" t="s">
        <v>22</v>
      </c>
    </row>
    <row r="7" spans="1:15" ht="63" customHeight="1">
      <c r="A7" s="15">
        <v>3</v>
      </c>
      <c r="B7" s="6" t="s">
        <v>23</v>
      </c>
      <c r="C7" s="5">
        <v>2015</v>
      </c>
      <c r="D7" s="6" t="s">
        <v>24</v>
      </c>
      <c r="E7" s="6" t="s">
        <v>25</v>
      </c>
      <c r="F7" s="5">
        <v>92</v>
      </c>
      <c r="G7" s="5">
        <v>93</v>
      </c>
      <c r="H7" s="5">
        <v>9.3000000000000007</v>
      </c>
      <c r="I7" s="5">
        <v>9</v>
      </c>
      <c r="J7" s="5">
        <v>92</v>
      </c>
      <c r="K7" s="7">
        <f t="shared" si="0"/>
        <v>92</v>
      </c>
      <c r="L7" s="7" t="str">
        <f>TEXT(10-((A7-1)*(3/99)),"0.0")&amp;" (AI – not played)"</f>
        <v>9.9 (AI – not played)</v>
      </c>
      <c r="M7" s="6" t="s">
        <v>26</v>
      </c>
    </row>
    <row r="8" spans="1:15" ht="63" customHeight="1">
      <c r="A8" s="15">
        <v>4</v>
      </c>
      <c r="B8" s="6" t="s">
        <v>33</v>
      </c>
      <c r="C8" s="5">
        <v>2018</v>
      </c>
      <c r="D8" s="6" t="s">
        <v>34</v>
      </c>
      <c r="E8" s="6" t="s">
        <v>35</v>
      </c>
      <c r="F8" s="5">
        <v>94</v>
      </c>
      <c r="G8" s="5">
        <v>90</v>
      </c>
      <c r="H8" s="5">
        <v>10</v>
      </c>
      <c r="I8" s="5">
        <v>9</v>
      </c>
      <c r="J8" s="5">
        <v>90</v>
      </c>
      <c r="K8" s="7">
        <f t="shared" si="0"/>
        <v>92.8</v>
      </c>
      <c r="L8" s="7">
        <f>10-((A8-1)*(3/99))</f>
        <v>9.9090909090909083</v>
      </c>
      <c r="M8" s="6" t="s">
        <v>36</v>
      </c>
    </row>
    <row r="9" spans="1:15" ht="63" customHeight="1">
      <c r="A9" s="15">
        <v>5</v>
      </c>
      <c r="B9" s="6" t="s">
        <v>37</v>
      </c>
      <c r="C9" s="5">
        <v>2013</v>
      </c>
      <c r="D9" s="6" t="s">
        <v>38</v>
      </c>
      <c r="E9" s="6" t="s">
        <v>39</v>
      </c>
      <c r="F9" s="5">
        <v>95</v>
      </c>
      <c r="G9" s="5"/>
      <c r="H9" s="5">
        <v>10</v>
      </c>
      <c r="I9" s="5">
        <v>8</v>
      </c>
      <c r="J9" s="5"/>
      <c r="K9" s="7">
        <f t="shared" si="0"/>
        <v>91.666666666666671</v>
      </c>
      <c r="L9" s="7">
        <f>10-((A9-1)*(3/99))</f>
        <v>9.8787878787878789</v>
      </c>
      <c r="M9" s="6" t="s">
        <v>40</v>
      </c>
    </row>
    <row r="10" spans="1:15" ht="63" customHeight="1">
      <c r="A10" s="15">
        <v>6</v>
      </c>
      <c r="B10" s="6" t="s">
        <v>27</v>
      </c>
      <c r="C10" s="5">
        <v>2013</v>
      </c>
      <c r="D10" s="6" t="s">
        <v>16</v>
      </c>
      <c r="E10" s="6" t="s">
        <v>17</v>
      </c>
      <c r="F10" s="5">
        <v>97</v>
      </c>
      <c r="G10" s="5">
        <v>96</v>
      </c>
      <c r="H10" s="5">
        <v>10</v>
      </c>
      <c r="I10" s="5">
        <v>9</v>
      </c>
      <c r="J10" s="5">
        <v>93</v>
      </c>
      <c r="K10" s="7">
        <f t="shared" si="0"/>
        <v>95.2</v>
      </c>
      <c r="L10" s="7">
        <f>10-((A10-1)*(3/99))</f>
        <v>9.8484848484848477</v>
      </c>
      <c r="M10" s="6" t="s">
        <v>28</v>
      </c>
    </row>
    <row r="11" spans="1:15" ht="63" customHeight="1">
      <c r="A11" s="15">
        <v>7</v>
      </c>
      <c r="B11" s="6" t="s">
        <v>41</v>
      </c>
      <c r="C11" s="5">
        <v>2008</v>
      </c>
      <c r="D11" s="6" t="s">
        <v>16</v>
      </c>
      <c r="E11" s="6" t="s">
        <v>17</v>
      </c>
      <c r="F11" s="5">
        <v>98</v>
      </c>
      <c r="G11" s="5">
        <v>90</v>
      </c>
      <c r="I11" s="5">
        <v>10</v>
      </c>
      <c r="J11" s="5"/>
      <c r="K11" s="4">
        <f t="shared" si="0"/>
        <v>96</v>
      </c>
      <c r="L11" s="7" t="str">
        <f>TEXT(10-(5*(3/99)),"0.0")</f>
        <v>9.8</v>
      </c>
      <c r="M11" s="6" t="s">
        <v>42</v>
      </c>
    </row>
    <row r="12" spans="1:15" ht="63" customHeight="1">
      <c r="A12" s="15">
        <v>8</v>
      </c>
      <c r="B12" s="6" t="s">
        <v>43</v>
      </c>
      <c r="C12" s="5">
        <v>2010</v>
      </c>
      <c r="D12" s="6" t="s">
        <v>16</v>
      </c>
      <c r="E12" s="6" t="s">
        <v>17</v>
      </c>
      <c r="F12" s="5">
        <v>95</v>
      </c>
      <c r="G12" s="5"/>
      <c r="H12" s="5">
        <v>9.6999999999999993</v>
      </c>
      <c r="I12" s="5">
        <v>9.5</v>
      </c>
      <c r="J12" s="5"/>
      <c r="K12" s="4">
        <f t="shared" si="0"/>
        <v>95.666666666666671</v>
      </c>
      <c r="L12" s="7">
        <f>10-((A12-1)*(3/99))</f>
        <v>9.7878787878787872</v>
      </c>
      <c r="M12" s="6" t="s">
        <v>44</v>
      </c>
    </row>
    <row r="13" spans="1:15" ht="63" customHeight="1">
      <c r="A13" s="15">
        <v>9</v>
      </c>
      <c r="B13" s="6" t="s">
        <v>29</v>
      </c>
      <c r="C13" s="5">
        <v>2007</v>
      </c>
      <c r="D13" s="6" t="s">
        <v>30</v>
      </c>
      <c r="E13" s="6" t="s">
        <v>31</v>
      </c>
      <c r="F13" s="5">
        <v>96</v>
      </c>
      <c r="G13" s="5">
        <v>96</v>
      </c>
      <c r="I13" s="5">
        <v>9</v>
      </c>
      <c r="J13" s="5">
        <v>94</v>
      </c>
      <c r="K13" s="4">
        <f t="shared" si="0"/>
        <v>94</v>
      </c>
      <c r="L13" s="7">
        <f>10-((A13-1)*(3/99))</f>
        <v>9.7575757575757578</v>
      </c>
      <c r="M13" s="6" t="s">
        <v>32</v>
      </c>
    </row>
    <row r="14" spans="1:15" ht="63" customHeight="1">
      <c r="A14" s="15">
        <v>10</v>
      </c>
      <c r="B14" s="6" t="s">
        <v>45</v>
      </c>
      <c r="C14" s="5">
        <v>2007</v>
      </c>
      <c r="D14" s="6" t="s">
        <v>20</v>
      </c>
      <c r="E14" s="6" t="s">
        <v>21</v>
      </c>
      <c r="F14" s="5">
        <v>91</v>
      </c>
      <c r="G14" s="5"/>
      <c r="I14" s="5">
        <v>8.5</v>
      </c>
      <c r="J14" s="5">
        <v>85</v>
      </c>
      <c r="K14" s="7">
        <f t="shared" si="0"/>
        <v>87</v>
      </c>
      <c r="L14" s="7">
        <f>10-((A14-1)*(3/99))</f>
        <v>9.7272727272727266</v>
      </c>
      <c r="M14" s="6" t="s">
        <v>46</v>
      </c>
    </row>
    <row r="15" spans="1:15" ht="63" customHeight="1">
      <c r="A15" s="15">
        <v>11</v>
      </c>
      <c r="B15" s="6" t="s">
        <v>47</v>
      </c>
      <c r="C15" s="5">
        <v>2011</v>
      </c>
      <c r="D15" s="6" t="s">
        <v>48</v>
      </c>
      <c r="E15" s="6" t="s">
        <v>25</v>
      </c>
      <c r="F15" s="5">
        <v>96</v>
      </c>
      <c r="G15" s="5">
        <v>94</v>
      </c>
      <c r="H15" s="5">
        <v>9.5</v>
      </c>
      <c r="I15" s="5">
        <v>9.5</v>
      </c>
      <c r="J15" s="5">
        <v>94</v>
      </c>
      <c r="K15" s="7">
        <f t="shared" si="0"/>
        <v>94.8</v>
      </c>
      <c r="L15" s="7" t="str">
        <f>TEXT(10-((A15-1)*(3/99)),"0.0")&amp;" (AI – not played)"</f>
        <v>9.7 (AI – not played)</v>
      </c>
      <c r="M15" s="6" t="s">
        <v>49</v>
      </c>
    </row>
    <row r="16" spans="1:15" ht="63" customHeight="1">
      <c r="A16" s="15">
        <v>12</v>
      </c>
      <c r="B16" s="6" t="s">
        <v>50</v>
      </c>
      <c r="C16" s="5">
        <v>2023</v>
      </c>
      <c r="D16" s="6" t="s">
        <v>51</v>
      </c>
      <c r="E16" s="6" t="s">
        <v>52</v>
      </c>
      <c r="F16" s="5">
        <v>96</v>
      </c>
      <c r="G16" s="5">
        <v>96</v>
      </c>
      <c r="H16" s="5">
        <v>10</v>
      </c>
      <c r="I16" s="5">
        <v>10</v>
      </c>
      <c r="J16" s="5">
        <v>97</v>
      </c>
      <c r="K16" s="7">
        <f t="shared" si="0"/>
        <v>97.8</v>
      </c>
      <c r="L16" s="7" t="str">
        <f>TEXT(10-((A16-1)*(3/99)),"0.0")&amp;" (AI – not played)"</f>
        <v>9.7 (AI – not played)</v>
      </c>
      <c r="M16" s="6" t="s">
        <v>53</v>
      </c>
    </row>
    <row r="17" spans="1:13" ht="63" customHeight="1">
      <c r="A17" s="15">
        <v>13</v>
      </c>
      <c r="B17" s="6" t="s">
        <v>54</v>
      </c>
      <c r="C17" s="5">
        <v>2025</v>
      </c>
      <c r="D17" s="6" t="s">
        <v>55</v>
      </c>
      <c r="E17" s="6" t="s">
        <v>56</v>
      </c>
      <c r="F17" s="5">
        <v>92</v>
      </c>
      <c r="G17" s="5">
        <v>91</v>
      </c>
      <c r="H17" s="5">
        <v>9</v>
      </c>
      <c r="I17" s="5">
        <v>9</v>
      </c>
      <c r="J17" s="5"/>
      <c r="K17" s="4">
        <f t="shared" si="0"/>
        <v>90.75</v>
      </c>
      <c r="L17" s="7">
        <f>10-((A17-1)*(3/99))</f>
        <v>9.6363636363636367</v>
      </c>
      <c r="M17" s="6" t="s">
        <v>57</v>
      </c>
    </row>
    <row r="18" spans="1:13" ht="63" customHeight="1">
      <c r="A18" s="15">
        <v>14</v>
      </c>
      <c r="B18" s="6" t="s">
        <v>58</v>
      </c>
      <c r="C18" s="5">
        <v>2011</v>
      </c>
      <c r="D18" s="6" t="s">
        <v>59</v>
      </c>
      <c r="E18" s="6" t="s">
        <v>35</v>
      </c>
      <c r="F18" s="5">
        <v>94</v>
      </c>
      <c r="G18" s="5">
        <v>94</v>
      </c>
      <c r="H18" s="5">
        <v>9.5</v>
      </c>
      <c r="I18" s="5">
        <v>9</v>
      </c>
      <c r="J18" s="5">
        <v>94</v>
      </c>
      <c r="K18" s="7">
        <f t="shared" si="0"/>
        <v>93.4</v>
      </c>
      <c r="L18" s="7">
        <f>10-((A18-1)*(3/99))</f>
        <v>9.6060606060606055</v>
      </c>
      <c r="M18" s="6" t="s">
        <v>60</v>
      </c>
    </row>
    <row r="19" spans="1:13" ht="63" customHeight="1">
      <c r="A19" s="15">
        <v>15</v>
      </c>
      <c r="B19" s="6" t="s">
        <v>61</v>
      </c>
      <c r="C19" s="5">
        <v>2022</v>
      </c>
      <c r="D19" s="6" t="s">
        <v>62</v>
      </c>
      <c r="E19" s="6" t="s">
        <v>63</v>
      </c>
      <c r="F19" s="5">
        <v>96</v>
      </c>
      <c r="G19" s="5">
        <v>94</v>
      </c>
      <c r="H19" s="5">
        <v>10</v>
      </c>
      <c r="I19" s="5">
        <v>10</v>
      </c>
      <c r="J19" s="5">
        <v>95</v>
      </c>
      <c r="K19" s="7">
        <f t="shared" si="0"/>
        <v>97</v>
      </c>
      <c r="L19" s="7" t="str">
        <f>TEXT(10-((A19-1)*(3/99)),"0.0")&amp;" (AI – not played)"</f>
        <v>9.6 (AI – not played)</v>
      </c>
      <c r="M19" s="6" t="s">
        <v>64</v>
      </c>
    </row>
    <row r="20" spans="1:13" ht="63" customHeight="1">
      <c r="A20" s="15">
        <v>16</v>
      </c>
      <c r="B20" s="6" t="s">
        <v>65</v>
      </c>
      <c r="C20" s="5">
        <v>2016</v>
      </c>
      <c r="D20" s="6" t="s">
        <v>38</v>
      </c>
      <c r="E20" s="6" t="s">
        <v>35</v>
      </c>
      <c r="F20" s="5">
        <v>93</v>
      </c>
      <c r="G20" s="5"/>
      <c r="I20" s="5">
        <v>10</v>
      </c>
      <c r="J20" s="5"/>
      <c r="K20" s="4">
        <f t="shared" si="0"/>
        <v>96.5</v>
      </c>
      <c r="L20" s="7">
        <f t="shared" ref="L20:L25" si="1">10-((A20-1)*(3/99))</f>
        <v>9.545454545454545</v>
      </c>
      <c r="M20" s="6" t="s">
        <v>66</v>
      </c>
    </row>
    <row r="21" spans="1:13" ht="63" customHeight="1">
      <c r="A21" s="15">
        <v>17</v>
      </c>
      <c r="B21" s="6" t="s">
        <v>67</v>
      </c>
      <c r="C21" s="5">
        <v>2022</v>
      </c>
      <c r="D21" s="6" t="s">
        <v>34</v>
      </c>
      <c r="E21" s="6" t="s">
        <v>35</v>
      </c>
      <c r="F21" s="5">
        <v>94</v>
      </c>
      <c r="G21" s="5">
        <v>94</v>
      </c>
      <c r="H21" s="5">
        <v>10</v>
      </c>
      <c r="I21" s="5">
        <v>10</v>
      </c>
      <c r="J21" s="5">
        <v>90</v>
      </c>
      <c r="K21" s="7">
        <f t="shared" si="0"/>
        <v>95.6</v>
      </c>
      <c r="L21" s="7">
        <f t="shared" si="1"/>
        <v>9.5151515151515156</v>
      </c>
      <c r="M21" s="6" t="s">
        <v>68</v>
      </c>
    </row>
    <row r="22" spans="1:13" ht="63" customHeight="1">
      <c r="A22" s="15">
        <v>18</v>
      </c>
      <c r="B22" s="6" t="s">
        <v>69</v>
      </c>
      <c r="C22" s="5">
        <v>2020</v>
      </c>
      <c r="D22" s="6" t="s">
        <v>38</v>
      </c>
      <c r="E22" s="6" t="s">
        <v>35</v>
      </c>
      <c r="F22" s="5">
        <v>93</v>
      </c>
      <c r="G22" s="5"/>
      <c r="I22" s="5">
        <v>8</v>
      </c>
      <c r="J22" s="5"/>
      <c r="K22" s="4">
        <f t="shared" si="0"/>
        <v>86.5</v>
      </c>
      <c r="L22" s="7">
        <f t="shared" si="1"/>
        <v>9.4848484848484844</v>
      </c>
      <c r="M22" s="6" t="s">
        <v>70</v>
      </c>
    </row>
    <row r="23" spans="1:13" ht="63" customHeight="1">
      <c r="A23" s="15">
        <v>19</v>
      </c>
      <c r="B23" s="6" t="s">
        <v>71</v>
      </c>
      <c r="C23" s="5">
        <v>2004</v>
      </c>
      <c r="D23" s="6" t="s">
        <v>72</v>
      </c>
      <c r="E23" s="6" t="s">
        <v>17</v>
      </c>
      <c r="F23" s="5">
        <v>95</v>
      </c>
      <c r="G23" s="5"/>
      <c r="I23" s="5">
        <v>9.6</v>
      </c>
      <c r="J23" s="5"/>
      <c r="K23" s="4">
        <f t="shared" si="0"/>
        <v>95.5</v>
      </c>
      <c r="L23" s="7">
        <f t="shared" si="1"/>
        <v>9.454545454545455</v>
      </c>
      <c r="M23" s="6" t="s">
        <v>73</v>
      </c>
    </row>
    <row r="24" spans="1:13" ht="63" customHeight="1">
      <c r="A24" s="15">
        <v>20</v>
      </c>
      <c r="B24" s="6" t="s">
        <v>74</v>
      </c>
      <c r="C24" s="5">
        <v>2012</v>
      </c>
      <c r="D24" s="6" t="s">
        <v>20</v>
      </c>
      <c r="E24" s="6" t="s">
        <v>21</v>
      </c>
      <c r="F24" s="5">
        <v>93</v>
      </c>
      <c r="G24" s="5">
        <v>89</v>
      </c>
      <c r="H24" s="5">
        <v>9.5</v>
      </c>
      <c r="I24" s="5">
        <v>9.5</v>
      </c>
      <c r="J24" s="5">
        <v>90</v>
      </c>
      <c r="K24" s="7">
        <f t="shared" si="0"/>
        <v>92.4</v>
      </c>
      <c r="L24" s="7">
        <f t="shared" si="1"/>
        <v>9.4242424242424239</v>
      </c>
      <c r="M24" s="6" t="s">
        <v>75</v>
      </c>
    </row>
    <row r="25" spans="1:13" ht="63" customHeight="1">
      <c r="A25" s="15">
        <v>21</v>
      </c>
      <c r="B25" s="6" t="s">
        <v>76</v>
      </c>
      <c r="C25" s="5">
        <v>2008</v>
      </c>
      <c r="D25" s="6" t="s">
        <v>48</v>
      </c>
      <c r="E25" s="6" t="s">
        <v>25</v>
      </c>
      <c r="F25" s="5">
        <v>93</v>
      </c>
      <c r="G25" s="5">
        <v>91</v>
      </c>
      <c r="H25" s="5">
        <v>9.6</v>
      </c>
      <c r="I25" s="5">
        <v>9</v>
      </c>
      <c r="J25" s="5">
        <v>92</v>
      </c>
      <c r="K25" s="7">
        <f t="shared" si="0"/>
        <v>92.4</v>
      </c>
      <c r="L25" s="7">
        <f t="shared" si="1"/>
        <v>9.3939393939393945</v>
      </c>
      <c r="M25" s="6" t="s">
        <v>77</v>
      </c>
    </row>
    <row r="26" spans="1:13" ht="63" customHeight="1">
      <c r="A26" s="15">
        <v>22</v>
      </c>
      <c r="B26" s="6" t="s">
        <v>78</v>
      </c>
      <c r="C26" s="5">
        <v>2000</v>
      </c>
      <c r="D26" s="6" t="s">
        <v>79</v>
      </c>
      <c r="E26" s="6" t="s">
        <v>52</v>
      </c>
      <c r="F26" s="5">
        <v>95</v>
      </c>
      <c r="G26" s="5"/>
      <c r="I26" s="5">
        <v>9.6</v>
      </c>
      <c r="J26" s="5"/>
      <c r="K26" s="4">
        <f t="shared" si="0"/>
        <v>95.5</v>
      </c>
      <c r="L26" s="7" t="str">
        <f>TEXT(10-((A26-1)*(3/99)),"0.0")&amp;" (AI – not played)"</f>
        <v>9.4 (AI – not played)</v>
      </c>
      <c r="M26" s="6" t="s">
        <v>80</v>
      </c>
    </row>
    <row r="27" spans="1:13" ht="63" customHeight="1">
      <c r="A27" s="15">
        <v>23</v>
      </c>
      <c r="B27" s="6" t="s">
        <v>81</v>
      </c>
      <c r="C27" s="5">
        <v>2007</v>
      </c>
      <c r="D27" s="6" t="s">
        <v>82</v>
      </c>
      <c r="E27" s="6" t="s">
        <v>83</v>
      </c>
      <c r="F27" s="5">
        <v>94</v>
      </c>
      <c r="G27" s="5"/>
      <c r="I27" s="5">
        <v>9.5</v>
      </c>
      <c r="J27" s="5"/>
      <c r="K27" s="4">
        <f t="shared" si="0"/>
        <v>94.5</v>
      </c>
      <c r="L27" s="7">
        <f>10-((A27-1)*(3/99))</f>
        <v>9.3333333333333339</v>
      </c>
      <c r="M27" s="6" t="s">
        <v>84</v>
      </c>
    </row>
    <row r="28" spans="1:13" ht="63" customHeight="1">
      <c r="A28" s="15">
        <v>24</v>
      </c>
      <c r="B28" s="6" t="s">
        <v>85</v>
      </c>
      <c r="C28" s="5">
        <v>2011</v>
      </c>
      <c r="D28" s="6" t="s">
        <v>86</v>
      </c>
      <c r="E28" s="6" t="s">
        <v>87</v>
      </c>
      <c r="F28" s="5">
        <v>95</v>
      </c>
      <c r="G28" s="5">
        <v>95</v>
      </c>
      <c r="H28" s="5">
        <v>10</v>
      </c>
      <c r="I28" s="5">
        <v>10</v>
      </c>
      <c r="J28" s="5">
        <v>94</v>
      </c>
      <c r="K28" s="7">
        <f t="shared" si="0"/>
        <v>96.8</v>
      </c>
      <c r="L28" s="7" t="str">
        <f>TEXT(10-((A28-1)*(3/99)),"0.0")&amp;" (AI – not played)"</f>
        <v>9.3 (AI – not played)</v>
      </c>
      <c r="M28" s="6" t="s">
        <v>88</v>
      </c>
    </row>
    <row r="29" spans="1:13" ht="63" customHeight="1">
      <c r="A29" s="15">
        <v>25</v>
      </c>
      <c r="B29" s="6" t="s">
        <v>89</v>
      </c>
      <c r="C29" s="5">
        <v>2004</v>
      </c>
      <c r="D29" s="6" t="s">
        <v>86</v>
      </c>
      <c r="E29" s="6" t="s">
        <v>90</v>
      </c>
      <c r="F29" s="5">
        <v>96</v>
      </c>
      <c r="G29" s="5">
        <v>96</v>
      </c>
      <c r="H29" s="5">
        <v>9.6999999999999993</v>
      </c>
      <c r="I29" s="5">
        <v>9.1999999999999993</v>
      </c>
      <c r="J29" s="5">
        <v>96</v>
      </c>
      <c r="K29" s="7">
        <f t="shared" si="0"/>
        <v>95.4</v>
      </c>
      <c r="L29" s="7">
        <f>10-((A29-1)*(3/99))</f>
        <v>9.2727272727272734</v>
      </c>
      <c r="M29" s="6" t="s">
        <v>91</v>
      </c>
    </row>
    <row r="30" spans="1:13" ht="63" customHeight="1">
      <c r="A30" s="15">
        <v>26</v>
      </c>
      <c r="B30" s="6" t="s">
        <v>92</v>
      </c>
      <c r="C30" s="5">
        <v>2020</v>
      </c>
      <c r="D30" s="6" t="s">
        <v>24</v>
      </c>
      <c r="E30" s="6" t="s">
        <v>25</v>
      </c>
      <c r="F30" s="5">
        <v>86</v>
      </c>
      <c r="G30" s="5">
        <v>86</v>
      </c>
      <c r="H30" s="5">
        <v>9</v>
      </c>
      <c r="I30" s="5">
        <v>7</v>
      </c>
      <c r="J30" s="5">
        <v>78</v>
      </c>
      <c r="K30" s="7">
        <f t="shared" si="0"/>
        <v>82</v>
      </c>
      <c r="L30" s="7">
        <f>10-((A30-1)*(3/99))</f>
        <v>9.2424242424242422</v>
      </c>
      <c r="M30" s="6" t="s">
        <v>93</v>
      </c>
    </row>
    <row r="31" spans="1:13" ht="63" customHeight="1">
      <c r="A31" s="15">
        <v>27</v>
      </c>
      <c r="B31" s="6" t="s">
        <v>322</v>
      </c>
      <c r="C31" s="5">
        <v>2023</v>
      </c>
      <c r="D31" s="6" t="s">
        <v>95</v>
      </c>
      <c r="E31" s="6" t="s">
        <v>100</v>
      </c>
      <c r="F31" s="5">
        <v>93</v>
      </c>
      <c r="G31" s="5">
        <v>91</v>
      </c>
      <c r="H31" s="5">
        <v>10</v>
      </c>
      <c r="I31" s="5">
        <v>10</v>
      </c>
      <c r="J31" s="5">
        <v>80</v>
      </c>
      <c r="K31" s="7">
        <f t="shared" si="0"/>
        <v>92.8</v>
      </c>
      <c r="L31" s="7">
        <f>10-((A31-1)*(3/99))</f>
        <v>9.2121212121212128</v>
      </c>
      <c r="M31" s="6" t="s">
        <v>323</v>
      </c>
    </row>
    <row r="32" spans="1:13" ht="63" customHeight="1">
      <c r="A32" s="15">
        <v>28</v>
      </c>
      <c r="B32" s="6" t="s">
        <v>98</v>
      </c>
      <c r="C32" s="5">
        <v>2023</v>
      </c>
      <c r="D32" s="6" t="s">
        <v>99</v>
      </c>
      <c r="E32" s="6" t="s">
        <v>100</v>
      </c>
      <c r="F32" s="5">
        <v>89</v>
      </c>
      <c r="G32" s="5">
        <v>89</v>
      </c>
      <c r="H32" s="5">
        <v>9</v>
      </c>
      <c r="I32" s="5">
        <v>9</v>
      </c>
      <c r="J32" s="5">
        <v>88</v>
      </c>
      <c r="K32" s="7">
        <f t="shared" si="0"/>
        <v>89.2</v>
      </c>
      <c r="L32" s="7" t="str">
        <f>TEXT(10-((A32-1)*(3/99)),"0.0")&amp;" (AI – not played)"</f>
        <v>9.2 (AI – not played)</v>
      </c>
      <c r="M32" s="6" t="s">
        <v>101</v>
      </c>
    </row>
    <row r="33" spans="1:13" ht="63" customHeight="1">
      <c r="A33" s="15">
        <v>29</v>
      </c>
      <c r="B33" s="6" t="s">
        <v>102</v>
      </c>
      <c r="C33" s="5">
        <v>2019</v>
      </c>
      <c r="D33" s="6" t="s">
        <v>103</v>
      </c>
      <c r="E33" s="6" t="s">
        <v>35</v>
      </c>
      <c r="F33" s="5">
        <v>85</v>
      </c>
      <c r="G33" s="5">
        <v>82</v>
      </c>
      <c r="H33" s="5">
        <v>8.8000000000000007</v>
      </c>
      <c r="I33" s="5">
        <v>8</v>
      </c>
      <c r="J33" s="5">
        <v>88</v>
      </c>
      <c r="K33" s="7">
        <f t="shared" si="0"/>
        <v>84.6</v>
      </c>
      <c r="L33" s="7">
        <f>10-((A33-1)*(3/99))</f>
        <v>9.1515151515151523</v>
      </c>
      <c r="M33" s="6" t="s">
        <v>104</v>
      </c>
    </row>
    <row r="34" spans="1:13" ht="63" customHeight="1">
      <c r="A34" s="15">
        <v>30</v>
      </c>
      <c r="B34" s="6" t="s">
        <v>105</v>
      </c>
      <c r="C34" s="5">
        <v>2003</v>
      </c>
      <c r="D34" s="6" t="s">
        <v>106</v>
      </c>
      <c r="E34" s="6" t="s">
        <v>107</v>
      </c>
      <c r="F34" s="5">
        <v>94</v>
      </c>
      <c r="G34" s="5">
        <v>94</v>
      </c>
      <c r="H34" s="5">
        <v>9.1999999999999993</v>
      </c>
      <c r="I34" s="5">
        <v>9.1</v>
      </c>
      <c r="J34" s="5">
        <v>92</v>
      </c>
      <c r="K34" s="7">
        <f t="shared" si="0"/>
        <v>92.6</v>
      </c>
      <c r="L34" s="7" t="str">
        <f>TEXT(10-((A34-1)*(3/99)),"0.0")&amp;" (AI – not played)"</f>
        <v>9.1 (AI – not played)</v>
      </c>
      <c r="M34" s="6" t="s">
        <v>108</v>
      </c>
    </row>
    <row r="35" spans="1:13" ht="63" customHeight="1">
      <c r="A35" s="15">
        <v>31</v>
      </c>
      <c r="B35" s="6" t="s">
        <v>109</v>
      </c>
      <c r="C35" s="5">
        <v>2004</v>
      </c>
      <c r="D35" s="6" t="s">
        <v>110</v>
      </c>
      <c r="E35" s="6" t="s">
        <v>111</v>
      </c>
      <c r="F35" s="5">
        <v>91</v>
      </c>
      <c r="G35" s="5"/>
      <c r="I35" s="5">
        <v>9</v>
      </c>
      <c r="J35" s="5"/>
      <c r="K35" s="4">
        <f t="shared" si="0"/>
        <v>90.5</v>
      </c>
      <c r="L35" s="7">
        <f>10-((A35-1)*(3/99))</f>
        <v>9.0909090909090899</v>
      </c>
      <c r="M35" s="6" t="s">
        <v>112</v>
      </c>
    </row>
    <row r="36" spans="1:13" ht="63" customHeight="1">
      <c r="A36" s="15">
        <v>32</v>
      </c>
      <c r="B36" s="6" t="s">
        <v>113</v>
      </c>
      <c r="C36" s="5">
        <v>2007</v>
      </c>
      <c r="D36" s="6" t="s">
        <v>114</v>
      </c>
      <c r="E36" s="6" t="s">
        <v>83</v>
      </c>
      <c r="F36" s="5">
        <v>94</v>
      </c>
      <c r="G36" s="5">
        <v>92</v>
      </c>
      <c r="H36" s="5">
        <v>9.4</v>
      </c>
      <c r="I36" s="5">
        <v>9</v>
      </c>
      <c r="J36" s="5"/>
      <c r="K36" s="4">
        <f t="shared" ref="K36:K67" si="2">IF((COUNT(F36,G36,J36)+IF(H36="",0,1)+IF(I36="",0,1))=0,"",(SUM(F36,G36,J36)+IF(H36="",0,H36*10)+IF(I36="",0,I36*10))/(COUNT(F36,G36,J36)+IF(H36="",0,1)+IF(I36="",0,1)))</f>
        <v>92.5</v>
      </c>
      <c r="L36" s="7">
        <f>10-((A36-1)*(3/99))</f>
        <v>9.0606060606060606</v>
      </c>
      <c r="M36" s="6" t="s">
        <v>115</v>
      </c>
    </row>
    <row r="37" spans="1:13" ht="63" customHeight="1">
      <c r="A37" s="15">
        <v>33</v>
      </c>
      <c r="B37" s="6" t="s">
        <v>116</v>
      </c>
      <c r="C37" s="5">
        <v>2013</v>
      </c>
      <c r="D37" s="6" t="s">
        <v>117</v>
      </c>
      <c r="E37" s="6" t="s">
        <v>118</v>
      </c>
      <c r="F37" s="5">
        <v>88</v>
      </c>
      <c r="G37" s="5">
        <v>84</v>
      </c>
      <c r="H37" s="5">
        <v>9</v>
      </c>
      <c r="I37" s="5">
        <v>9</v>
      </c>
      <c r="J37" s="5">
        <v>86</v>
      </c>
      <c r="K37" s="7">
        <f t="shared" si="2"/>
        <v>87.6</v>
      </c>
      <c r="L37" s="7">
        <f>10-((A37-1)*(3/99))</f>
        <v>9.0303030303030312</v>
      </c>
      <c r="M37" s="6" t="s">
        <v>119</v>
      </c>
    </row>
    <row r="38" spans="1:13" ht="63" customHeight="1">
      <c r="A38" s="15">
        <v>34</v>
      </c>
      <c r="B38" s="6" t="s">
        <v>120</v>
      </c>
      <c r="C38" s="5">
        <v>2012</v>
      </c>
      <c r="D38" s="6" t="s">
        <v>121</v>
      </c>
      <c r="E38" s="6" t="s">
        <v>122</v>
      </c>
      <c r="F38" s="5">
        <v>88</v>
      </c>
      <c r="G38" s="5">
        <v>88</v>
      </c>
      <c r="H38" s="5">
        <v>9.1999999999999993</v>
      </c>
      <c r="I38" s="5">
        <v>9</v>
      </c>
      <c r="J38" s="5">
        <v>88</v>
      </c>
      <c r="K38" s="7">
        <f t="shared" si="2"/>
        <v>89.2</v>
      </c>
      <c r="L38" s="7" t="str">
        <f>TEXT(10-((A38-1)*(3/99)),"0.0")&amp;" (AI – not played)"</f>
        <v>9.0 (AI – not played)</v>
      </c>
      <c r="M38" s="6" t="s">
        <v>123</v>
      </c>
    </row>
    <row r="39" spans="1:13" ht="63" customHeight="1">
      <c r="A39" s="15">
        <v>35</v>
      </c>
      <c r="B39" s="6" t="s">
        <v>124</v>
      </c>
      <c r="C39" s="5">
        <v>2006</v>
      </c>
      <c r="D39" s="6" t="s">
        <v>48</v>
      </c>
      <c r="E39" s="6" t="s">
        <v>25</v>
      </c>
      <c r="F39" s="5">
        <v>94</v>
      </c>
      <c r="G39" s="5">
        <v>94</v>
      </c>
      <c r="H39" s="5">
        <v>9.3000000000000007</v>
      </c>
      <c r="I39" s="5">
        <v>9.5</v>
      </c>
      <c r="J39" s="5">
        <v>92</v>
      </c>
      <c r="K39" s="7">
        <f t="shared" si="2"/>
        <v>93.6</v>
      </c>
      <c r="L39" s="7">
        <f>10-((A39-1)*(3/99))</f>
        <v>8.9696969696969688</v>
      </c>
      <c r="M39" s="6" t="s">
        <v>125</v>
      </c>
    </row>
    <row r="40" spans="1:13" ht="63" customHeight="1">
      <c r="A40" s="15">
        <v>36</v>
      </c>
      <c r="B40" s="6" t="s">
        <v>126</v>
      </c>
      <c r="C40" s="5">
        <v>2010</v>
      </c>
      <c r="D40" s="6" t="s">
        <v>82</v>
      </c>
      <c r="E40" s="6" t="s">
        <v>83</v>
      </c>
      <c r="F40" s="5">
        <v>91</v>
      </c>
      <c r="G40" s="5"/>
      <c r="I40" s="5">
        <v>9.5</v>
      </c>
      <c r="J40" s="5"/>
      <c r="K40" s="4">
        <f t="shared" si="2"/>
        <v>93</v>
      </c>
      <c r="L40" s="7">
        <f>10-((A40-1)*(3/99))</f>
        <v>8.9393939393939394</v>
      </c>
      <c r="M40" s="6" t="s">
        <v>127</v>
      </c>
    </row>
    <row r="41" spans="1:13" ht="63" customHeight="1">
      <c r="A41" s="15">
        <v>37</v>
      </c>
      <c r="B41" s="6" t="s">
        <v>128</v>
      </c>
      <c r="C41" s="5">
        <v>2014</v>
      </c>
      <c r="D41" s="6" t="s">
        <v>117</v>
      </c>
      <c r="E41" s="6" t="s">
        <v>129</v>
      </c>
      <c r="F41" s="5">
        <v>80</v>
      </c>
      <c r="G41" s="5">
        <v>80</v>
      </c>
      <c r="H41" s="5">
        <v>8.5</v>
      </c>
      <c r="I41" s="5">
        <v>8.5</v>
      </c>
      <c r="J41" s="5">
        <v>80</v>
      </c>
      <c r="K41" s="7">
        <f t="shared" si="2"/>
        <v>82</v>
      </c>
      <c r="L41" s="7">
        <f>10-((A41-1)*(3/99))</f>
        <v>8.9090909090909101</v>
      </c>
      <c r="M41" s="6" t="s">
        <v>130</v>
      </c>
    </row>
    <row r="42" spans="1:13" ht="63" customHeight="1">
      <c r="A42" s="15">
        <v>38</v>
      </c>
      <c r="B42" s="6" t="s">
        <v>131</v>
      </c>
      <c r="C42" s="5">
        <v>2014</v>
      </c>
      <c r="D42" s="6" t="s">
        <v>20</v>
      </c>
      <c r="E42" s="6" t="s">
        <v>25</v>
      </c>
      <c r="F42" s="5">
        <v>89</v>
      </c>
      <c r="G42" s="5">
        <v>85</v>
      </c>
      <c r="H42" s="5">
        <v>8.8000000000000007</v>
      </c>
      <c r="I42" s="5">
        <v>9</v>
      </c>
      <c r="J42" s="5">
        <v>87</v>
      </c>
      <c r="K42" s="7">
        <f t="shared" si="2"/>
        <v>87.8</v>
      </c>
      <c r="L42" s="7" t="str">
        <f>TEXT(10-((A42-1)*(3/99)),"0.0")&amp;" (AI – not played)"</f>
        <v>8.9 (AI – not played)</v>
      </c>
      <c r="M42" s="6" t="s">
        <v>132</v>
      </c>
    </row>
    <row r="43" spans="1:13" ht="63" customHeight="1">
      <c r="A43" s="15">
        <v>39</v>
      </c>
      <c r="B43" s="6" t="s">
        <v>133</v>
      </c>
      <c r="C43" s="5">
        <v>2019</v>
      </c>
      <c r="D43" s="6" t="s">
        <v>134</v>
      </c>
      <c r="E43" s="6" t="s">
        <v>135</v>
      </c>
      <c r="F43" s="5">
        <v>80</v>
      </c>
      <c r="G43" s="5">
        <v>81</v>
      </c>
      <c r="H43" s="5">
        <v>8.6</v>
      </c>
      <c r="I43" s="5">
        <v>8</v>
      </c>
      <c r="J43" s="5">
        <v>79</v>
      </c>
      <c r="K43" s="7">
        <f t="shared" si="2"/>
        <v>81.2</v>
      </c>
      <c r="L43" s="7">
        <f t="shared" ref="L43:L51" si="3">10-((A43-1)*(3/99))</f>
        <v>8.8484848484848477</v>
      </c>
      <c r="M43" s="6" t="s">
        <v>136</v>
      </c>
    </row>
    <row r="44" spans="1:13" ht="63" customHeight="1">
      <c r="A44" s="15">
        <v>40</v>
      </c>
      <c r="B44" s="6" t="s">
        <v>137</v>
      </c>
      <c r="C44" s="5">
        <v>2019</v>
      </c>
      <c r="D44" s="6" t="s">
        <v>95</v>
      </c>
      <c r="E44" s="6" t="s">
        <v>96</v>
      </c>
      <c r="F44" s="5">
        <v>91</v>
      </c>
      <c r="G44" s="5">
        <v>91</v>
      </c>
      <c r="H44" s="5">
        <v>9</v>
      </c>
      <c r="I44" s="5">
        <v>9</v>
      </c>
      <c r="J44" s="5">
        <v>90</v>
      </c>
      <c r="K44" s="7">
        <f t="shared" si="2"/>
        <v>90.4</v>
      </c>
      <c r="L44" s="7">
        <f t="shared" si="3"/>
        <v>8.8181818181818183</v>
      </c>
      <c r="M44" s="6" t="s">
        <v>138</v>
      </c>
    </row>
    <row r="45" spans="1:13" ht="63" customHeight="1">
      <c r="A45" s="15">
        <v>41</v>
      </c>
      <c r="B45" s="6" t="s">
        <v>324</v>
      </c>
      <c r="C45" s="5">
        <v>2026</v>
      </c>
      <c r="D45" s="6" t="s">
        <v>95</v>
      </c>
      <c r="E45" s="6" t="s">
        <v>96</v>
      </c>
      <c r="F45" s="5">
        <v>89</v>
      </c>
      <c r="G45" s="5">
        <v>92</v>
      </c>
      <c r="H45" s="5">
        <v>9</v>
      </c>
      <c r="I45" s="5">
        <v>8</v>
      </c>
      <c r="J45" s="5">
        <v>92</v>
      </c>
      <c r="K45" s="7">
        <f t="shared" si="2"/>
        <v>88.6</v>
      </c>
      <c r="L45" s="7">
        <f t="shared" si="3"/>
        <v>8.7878787878787872</v>
      </c>
      <c r="M45" s="6" t="s">
        <v>325</v>
      </c>
    </row>
    <row r="46" spans="1:13" ht="63" customHeight="1">
      <c r="A46" s="15">
        <v>42</v>
      </c>
      <c r="B46" s="6" t="s">
        <v>139</v>
      </c>
      <c r="C46" s="5">
        <v>2016</v>
      </c>
      <c r="D46" s="6" t="s">
        <v>140</v>
      </c>
      <c r="E46" s="6" t="s">
        <v>83</v>
      </c>
      <c r="F46" s="5">
        <v>89</v>
      </c>
      <c r="G46" s="5">
        <v>86</v>
      </c>
      <c r="H46" s="5">
        <v>9</v>
      </c>
      <c r="I46" s="5">
        <v>9</v>
      </c>
      <c r="J46" s="5">
        <v>89</v>
      </c>
      <c r="K46" s="7">
        <f t="shared" si="2"/>
        <v>88.8</v>
      </c>
      <c r="L46" s="7">
        <f t="shared" si="3"/>
        <v>8.7575757575757578</v>
      </c>
      <c r="M46" s="6" t="s">
        <v>141</v>
      </c>
    </row>
    <row r="47" spans="1:13" ht="63" customHeight="1">
      <c r="A47" s="15">
        <v>43</v>
      </c>
      <c r="B47" s="6" t="s">
        <v>142</v>
      </c>
      <c r="C47" s="5">
        <v>2017</v>
      </c>
      <c r="D47" s="6" t="s">
        <v>143</v>
      </c>
      <c r="E47" s="6" t="s">
        <v>90</v>
      </c>
      <c r="F47" s="5">
        <v>68</v>
      </c>
      <c r="G47" s="5">
        <v>68</v>
      </c>
      <c r="H47" s="5">
        <v>8</v>
      </c>
      <c r="I47" s="5">
        <v>8</v>
      </c>
      <c r="J47" s="5">
        <v>80</v>
      </c>
      <c r="K47" s="7">
        <f t="shared" si="2"/>
        <v>75.2</v>
      </c>
      <c r="L47" s="7">
        <f t="shared" si="3"/>
        <v>8.7272727272727266</v>
      </c>
      <c r="M47" s="6" t="s">
        <v>144</v>
      </c>
    </row>
    <row r="48" spans="1:13" ht="63" customHeight="1">
      <c r="A48" s="15">
        <v>44</v>
      </c>
      <c r="B48" s="6" t="s">
        <v>145</v>
      </c>
      <c r="C48" s="5">
        <v>2019</v>
      </c>
      <c r="D48" s="6" t="s">
        <v>146</v>
      </c>
      <c r="E48" s="6" t="s">
        <v>147</v>
      </c>
      <c r="F48" s="5">
        <v>90</v>
      </c>
      <c r="G48" s="5">
        <v>90</v>
      </c>
      <c r="I48" s="5">
        <v>9</v>
      </c>
      <c r="J48" s="5">
        <v>90</v>
      </c>
      <c r="K48" s="4">
        <f t="shared" si="2"/>
        <v>90</v>
      </c>
      <c r="L48" s="7">
        <f t="shared" si="3"/>
        <v>8.6969696969696972</v>
      </c>
      <c r="M48" s="6" t="s">
        <v>148</v>
      </c>
    </row>
    <row r="49" spans="1:14" ht="63" customHeight="1">
      <c r="A49" s="15">
        <v>45</v>
      </c>
      <c r="B49" s="6" t="s">
        <v>149</v>
      </c>
      <c r="C49" s="5">
        <v>2015</v>
      </c>
      <c r="D49" s="6" t="s">
        <v>150</v>
      </c>
      <c r="E49" s="6" t="s">
        <v>147</v>
      </c>
      <c r="F49" s="5">
        <v>92</v>
      </c>
      <c r="G49" s="5"/>
      <c r="I49" s="5">
        <v>9</v>
      </c>
      <c r="J49" s="5"/>
      <c r="K49" s="4">
        <f t="shared" si="2"/>
        <v>91</v>
      </c>
      <c r="L49" s="7">
        <f t="shared" si="3"/>
        <v>8.6666666666666661</v>
      </c>
      <c r="M49" s="6" t="s">
        <v>151</v>
      </c>
    </row>
    <row r="50" spans="1:14" ht="63" customHeight="1">
      <c r="A50" s="15">
        <v>46</v>
      </c>
      <c r="B50" s="6" t="s">
        <v>152</v>
      </c>
      <c r="C50" s="5">
        <v>2002</v>
      </c>
      <c r="D50" s="6" t="s">
        <v>72</v>
      </c>
      <c r="E50" s="6" t="s">
        <v>17</v>
      </c>
      <c r="F50" s="5">
        <v>95</v>
      </c>
      <c r="G50" s="5"/>
      <c r="H50" s="5">
        <v>9.6</v>
      </c>
      <c r="I50" s="5">
        <v>9.6</v>
      </c>
      <c r="J50" s="5"/>
      <c r="K50" s="7">
        <f t="shared" si="2"/>
        <v>95.666666666666671</v>
      </c>
      <c r="L50" s="7">
        <f t="shared" si="3"/>
        <v>8.6363636363636367</v>
      </c>
      <c r="M50" s="6" t="s">
        <v>153</v>
      </c>
    </row>
    <row r="51" spans="1:14" ht="63" customHeight="1">
      <c r="A51" s="15">
        <v>47</v>
      </c>
      <c r="B51" s="6" t="s">
        <v>154</v>
      </c>
      <c r="C51" s="5">
        <v>2019</v>
      </c>
      <c r="D51" s="6" t="s">
        <v>140</v>
      </c>
      <c r="E51" s="6" t="s">
        <v>35</v>
      </c>
      <c r="F51" s="5">
        <v>81</v>
      </c>
      <c r="G51" s="5">
        <v>80</v>
      </c>
      <c r="H51" s="5">
        <v>9</v>
      </c>
      <c r="I51" s="5">
        <v>9</v>
      </c>
      <c r="J51" s="5">
        <v>81</v>
      </c>
      <c r="K51" s="7">
        <f t="shared" si="2"/>
        <v>84.4</v>
      </c>
      <c r="L51" s="7">
        <f t="shared" si="3"/>
        <v>8.6060606060606055</v>
      </c>
      <c r="M51" s="6" t="s">
        <v>155</v>
      </c>
    </row>
    <row r="52" spans="1:14" ht="63" customHeight="1">
      <c r="A52" s="15">
        <v>48</v>
      </c>
      <c r="B52" s="6" t="s">
        <v>156</v>
      </c>
      <c r="C52" s="5">
        <v>2017</v>
      </c>
      <c r="D52" s="6" t="s">
        <v>157</v>
      </c>
      <c r="E52" s="6" t="s">
        <v>63</v>
      </c>
      <c r="F52" s="5">
        <v>89</v>
      </c>
      <c r="G52" s="5">
        <v>84</v>
      </c>
      <c r="H52" s="5">
        <v>9.3000000000000007</v>
      </c>
      <c r="I52" s="5">
        <v>9</v>
      </c>
      <c r="J52" s="5">
        <v>85</v>
      </c>
      <c r="K52" s="7">
        <f t="shared" si="2"/>
        <v>88.2</v>
      </c>
      <c r="L52" s="7" t="str">
        <f>TEXT(10-((A52-1)*(3/99)),"0.0")&amp;" (AI – not played)"</f>
        <v>8.6 (AI – not played)</v>
      </c>
      <c r="M52" s="6" t="s">
        <v>158</v>
      </c>
    </row>
    <row r="53" spans="1:14" ht="63" customHeight="1">
      <c r="A53" s="15">
        <v>49</v>
      </c>
      <c r="B53" s="6" t="s">
        <v>159</v>
      </c>
      <c r="C53" s="5">
        <v>2022</v>
      </c>
      <c r="D53" s="6" t="s">
        <v>157</v>
      </c>
      <c r="E53" s="6" t="s">
        <v>63</v>
      </c>
      <c r="F53" s="5">
        <v>88</v>
      </c>
      <c r="G53" s="5">
        <v>88</v>
      </c>
      <c r="H53" s="5">
        <v>9</v>
      </c>
      <c r="I53" s="5">
        <v>9</v>
      </c>
      <c r="J53" s="5">
        <v>87</v>
      </c>
      <c r="K53" s="7">
        <f t="shared" si="2"/>
        <v>88.6</v>
      </c>
      <c r="L53" s="7" t="str">
        <f>TEXT(10-((A53-1)*(3/99)),"0.0")&amp;" (AI – not played)"</f>
        <v>8.5 (AI – not played)</v>
      </c>
      <c r="M53" s="6" t="s">
        <v>160</v>
      </c>
    </row>
    <row r="54" spans="1:14" ht="63" customHeight="1">
      <c r="A54" s="16">
        <v>50</v>
      </c>
      <c r="B54" s="8" t="s">
        <v>161</v>
      </c>
      <c r="C54" s="9">
        <v>2020</v>
      </c>
      <c r="D54" s="8" t="s">
        <v>162</v>
      </c>
      <c r="E54" s="8" t="s">
        <v>118</v>
      </c>
      <c r="F54" s="9">
        <v>83</v>
      </c>
      <c r="G54" s="9">
        <v>87</v>
      </c>
      <c r="H54" s="9">
        <v>9</v>
      </c>
      <c r="I54" s="9">
        <v>7</v>
      </c>
      <c r="J54" s="9">
        <v>87</v>
      </c>
      <c r="K54" s="10">
        <f t="shared" si="2"/>
        <v>83.4</v>
      </c>
      <c r="L54" s="10">
        <f>10-((A54-1)*(3/99))</f>
        <v>8.5151515151515156</v>
      </c>
      <c r="M54" s="8" t="s">
        <v>163</v>
      </c>
    </row>
    <row r="55" spans="1:14">
      <c r="A55" s="36" t="s">
        <v>167</v>
      </c>
      <c r="B55" s="37"/>
      <c r="C55" s="38"/>
      <c r="D55" s="37"/>
      <c r="E55" s="37"/>
      <c r="F55" s="38"/>
      <c r="G55" s="38"/>
      <c r="H55" s="38"/>
      <c r="I55" s="38"/>
      <c r="J55" s="38"/>
      <c r="K55" s="39"/>
      <c r="L55" s="39"/>
      <c r="M55" s="37"/>
      <c r="N55" s="34"/>
    </row>
    <row r="56" spans="1:14" ht="63" customHeight="1">
      <c r="A56" s="17">
        <v>51</v>
      </c>
      <c r="B56" s="2" t="s">
        <v>164</v>
      </c>
      <c r="C56" s="3">
        <v>2020</v>
      </c>
      <c r="D56" s="2" t="s">
        <v>165</v>
      </c>
      <c r="E56" s="2" t="s">
        <v>83</v>
      </c>
      <c r="F56" s="3">
        <v>88</v>
      </c>
      <c r="G56" s="3">
        <v>88</v>
      </c>
      <c r="H56" s="3">
        <v>9</v>
      </c>
      <c r="I56" s="3">
        <v>8</v>
      </c>
      <c r="J56" s="3">
        <v>94</v>
      </c>
      <c r="K56" s="4">
        <f t="shared" ref="K56:K87" si="4">IF((COUNT(F56,G56,J56)+IF(H56="",0,1)+IF(I56="",0,1))=0,"",(SUM(F56,G56,J56)+IF(H56="",0,H56*10)+IF(I56="",0,I56*10))/(COUNT(F56,G56,J56)+IF(H56="",0,1)+IF(I56="",0,1)))</f>
        <v>88</v>
      </c>
      <c r="L56" s="4">
        <f t="shared" ref="L56:L87" si="5">10-((A56-1)*(3/99))</f>
        <v>8.4848484848484844</v>
      </c>
      <c r="M56" s="2" t="s">
        <v>166</v>
      </c>
    </row>
    <row r="57" spans="1:14" ht="63" customHeight="1">
      <c r="A57" s="17">
        <v>52</v>
      </c>
      <c r="B57" s="2" t="s">
        <v>168</v>
      </c>
      <c r="C57" s="3">
        <v>2023</v>
      </c>
      <c r="D57" s="2" t="s">
        <v>140</v>
      </c>
      <c r="E57" s="2" t="s">
        <v>35</v>
      </c>
      <c r="F57" s="3">
        <v>85</v>
      </c>
      <c r="G57" s="3">
        <v>79</v>
      </c>
      <c r="H57" s="3">
        <v>9</v>
      </c>
      <c r="I57" s="3">
        <v>9</v>
      </c>
      <c r="J57" s="3">
        <v>85</v>
      </c>
      <c r="K57" s="4">
        <f t="shared" si="4"/>
        <v>85.8</v>
      </c>
      <c r="L57" s="4">
        <f t="shared" si="5"/>
        <v>8.454545454545455</v>
      </c>
      <c r="M57" s="2" t="s">
        <v>169</v>
      </c>
    </row>
    <row r="58" spans="1:14" ht="63" customHeight="1">
      <c r="A58" s="17">
        <v>53</v>
      </c>
      <c r="B58" s="2" t="s">
        <v>170</v>
      </c>
      <c r="C58" s="3">
        <v>2019</v>
      </c>
      <c r="D58" s="2" t="s">
        <v>171</v>
      </c>
      <c r="E58" s="2" t="s">
        <v>172</v>
      </c>
      <c r="F58" s="3">
        <v>82</v>
      </c>
      <c r="G58" s="3">
        <v>85</v>
      </c>
      <c r="H58" s="3">
        <v>6.8</v>
      </c>
      <c r="I58" s="3">
        <v>9</v>
      </c>
      <c r="J58" s="3">
        <v>83</v>
      </c>
      <c r="K58" s="4">
        <f t="shared" si="4"/>
        <v>81.599999999999994</v>
      </c>
      <c r="L58" s="4">
        <f t="shared" si="5"/>
        <v>8.4242424242424239</v>
      </c>
      <c r="M58" s="2" t="s">
        <v>173</v>
      </c>
    </row>
    <row r="59" spans="1:14" ht="63" customHeight="1">
      <c r="A59" s="17">
        <v>54</v>
      </c>
      <c r="B59" s="2" t="s">
        <v>174</v>
      </c>
      <c r="C59" s="3">
        <v>2025</v>
      </c>
      <c r="D59" s="2" t="s">
        <v>171</v>
      </c>
      <c r="E59" s="2" t="s">
        <v>172</v>
      </c>
      <c r="F59" s="3">
        <v>90</v>
      </c>
      <c r="G59" s="3">
        <v>90</v>
      </c>
      <c r="H59" s="3">
        <v>9</v>
      </c>
      <c r="I59" s="3">
        <v>9</v>
      </c>
      <c r="J59" s="3">
        <v>90</v>
      </c>
      <c r="K59" s="4">
        <f t="shared" si="4"/>
        <v>90</v>
      </c>
      <c r="L59" s="4">
        <f t="shared" si="5"/>
        <v>8.3939393939393945</v>
      </c>
      <c r="M59" s="2" t="s">
        <v>175</v>
      </c>
    </row>
    <row r="60" spans="1:14" ht="63" customHeight="1">
      <c r="A60" s="17">
        <v>55</v>
      </c>
      <c r="B60" s="2" t="s">
        <v>176</v>
      </c>
      <c r="C60" s="3">
        <v>2020</v>
      </c>
      <c r="D60" s="2" t="s">
        <v>177</v>
      </c>
      <c r="E60" s="2" t="s">
        <v>147</v>
      </c>
      <c r="F60" s="3">
        <v>87</v>
      </c>
      <c r="G60" s="3">
        <v>89</v>
      </c>
      <c r="H60" s="3">
        <v>8</v>
      </c>
      <c r="I60" s="3">
        <v>8</v>
      </c>
      <c r="J60" s="3">
        <v>80</v>
      </c>
      <c r="K60" s="4">
        <f t="shared" si="4"/>
        <v>83.2</v>
      </c>
      <c r="L60" s="4">
        <f t="shared" si="5"/>
        <v>8.3636363636363633</v>
      </c>
      <c r="M60" s="2" t="s">
        <v>178</v>
      </c>
    </row>
    <row r="61" spans="1:14" ht="63" customHeight="1">
      <c r="A61" s="17">
        <v>56</v>
      </c>
      <c r="B61" s="2" t="s">
        <v>179</v>
      </c>
      <c r="C61" s="3">
        <v>2023</v>
      </c>
      <c r="D61" s="2" t="s">
        <v>177</v>
      </c>
      <c r="E61" s="2" t="s">
        <v>147</v>
      </c>
      <c r="F61" s="3">
        <v>87</v>
      </c>
      <c r="G61" s="3">
        <v>89</v>
      </c>
      <c r="H61" s="3">
        <v>9</v>
      </c>
      <c r="I61" s="3">
        <v>9</v>
      </c>
      <c r="J61" s="3">
        <v>80</v>
      </c>
      <c r="K61" s="4">
        <f t="shared" si="4"/>
        <v>87.2</v>
      </c>
      <c r="L61" s="4">
        <f t="shared" si="5"/>
        <v>8.3333333333333339</v>
      </c>
      <c r="M61" s="2" t="s">
        <v>180</v>
      </c>
    </row>
    <row r="62" spans="1:14" ht="63" customHeight="1">
      <c r="A62" s="17">
        <v>57</v>
      </c>
      <c r="B62" s="2" t="s">
        <v>181</v>
      </c>
      <c r="C62" s="3">
        <v>2016</v>
      </c>
      <c r="D62" s="2" t="s">
        <v>177</v>
      </c>
      <c r="E62" s="2" t="s">
        <v>63</v>
      </c>
      <c r="F62" s="3">
        <v>81</v>
      </c>
      <c r="G62" s="3">
        <v>82</v>
      </c>
      <c r="I62" s="3">
        <v>8</v>
      </c>
      <c r="J62" s="3">
        <v>85</v>
      </c>
      <c r="K62" s="4">
        <f t="shared" si="4"/>
        <v>82</v>
      </c>
      <c r="L62" s="4">
        <f t="shared" si="5"/>
        <v>8.3030303030303028</v>
      </c>
      <c r="M62" s="2" t="s">
        <v>182</v>
      </c>
    </row>
    <row r="63" spans="1:14" ht="63" customHeight="1">
      <c r="A63" s="17">
        <v>58</v>
      </c>
      <c r="B63" s="2" t="s">
        <v>183</v>
      </c>
      <c r="C63" s="3">
        <v>2005</v>
      </c>
      <c r="D63" s="2" t="s">
        <v>177</v>
      </c>
      <c r="E63" s="2" t="s">
        <v>147</v>
      </c>
      <c r="F63" s="3">
        <v>87</v>
      </c>
      <c r="G63" s="3"/>
      <c r="H63" s="3">
        <v>9</v>
      </c>
      <c r="I63" s="3">
        <v>9</v>
      </c>
      <c r="J63" s="3"/>
      <c r="K63" s="4">
        <f t="shared" si="4"/>
        <v>89</v>
      </c>
      <c r="L63" s="4">
        <f t="shared" si="5"/>
        <v>8.2727272727272734</v>
      </c>
      <c r="M63" s="2" t="s">
        <v>184</v>
      </c>
    </row>
    <row r="64" spans="1:14" ht="63" customHeight="1">
      <c r="A64" s="17">
        <v>59</v>
      </c>
      <c r="B64" s="2" t="s">
        <v>185</v>
      </c>
      <c r="C64" s="3">
        <v>2017</v>
      </c>
      <c r="D64" s="2" t="s">
        <v>186</v>
      </c>
      <c r="E64" s="2" t="s">
        <v>147</v>
      </c>
      <c r="F64" s="3">
        <v>88</v>
      </c>
      <c r="G64" s="3">
        <v>84</v>
      </c>
      <c r="I64" s="3">
        <v>8</v>
      </c>
      <c r="J64" s="3">
        <v>87</v>
      </c>
      <c r="K64" s="4">
        <f t="shared" si="4"/>
        <v>84.75</v>
      </c>
      <c r="L64" s="4">
        <f t="shared" si="5"/>
        <v>8.2424242424242422</v>
      </c>
      <c r="M64" s="2" t="s">
        <v>187</v>
      </c>
    </row>
    <row r="65" spans="1:13" ht="63" customHeight="1">
      <c r="A65" s="17">
        <v>60</v>
      </c>
      <c r="B65" s="2" t="s">
        <v>188</v>
      </c>
      <c r="C65" s="3">
        <v>2000</v>
      </c>
      <c r="D65" s="2" t="s">
        <v>189</v>
      </c>
      <c r="E65" s="2" t="s">
        <v>147</v>
      </c>
      <c r="F65" s="3">
        <v>88</v>
      </c>
      <c r="G65" s="3"/>
      <c r="H65" s="3">
        <v>9</v>
      </c>
      <c r="I65" s="3">
        <v>9</v>
      </c>
      <c r="J65" s="3"/>
      <c r="K65" s="4">
        <f t="shared" si="4"/>
        <v>89.333333333333329</v>
      </c>
      <c r="L65" s="4">
        <f t="shared" si="5"/>
        <v>8.2121212121212128</v>
      </c>
      <c r="M65" s="2" t="s">
        <v>190</v>
      </c>
    </row>
    <row r="66" spans="1:13" ht="63" customHeight="1">
      <c r="A66" s="17">
        <v>61</v>
      </c>
      <c r="B66" s="2" t="s">
        <v>191</v>
      </c>
      <c r="C66" s="3">
        <v>2023</v>
      </c>
      <c r="D66" s="2" t="s">
        <v>189</v>
      </c>
      <c r="E66" s="2" t="s">
        <v>147</v>
      </c>
      <c r="F66" s="3">
        <v>91</v>
      </c>
      <c r="G66" s="3">
        <v>90</v>
      </c>
      <c r="I66" s="3">
        <v>9</v>
      </c>
      <c r="J66" s="3">
        <v>86</v>
      </c>
      <c r="K66" s="4">
        <f t="shared" si="4"/>
        <v>89.25</v>
      </c>
      <c r="L66" s="4">
        <f t="shared" si="5"/>
        <v>8.1818181818181817</v>
      </c>
      <c r="M66" s="2" t="s">
        <v>192</v>
      </c>
    </row>
    <row r="67" spans="1:13" ht="63" customHeight="1">
      <c r="A67" s="17">
        <v>62</v>
      </c>
      <c r="B67" s="2" t="s">
        <v>193</v>
      </c>
      <c r="C67" s="3">
        <v>2004</v>
      </c>
      <c r="D67" s="2" t="s">
        <v>189</v>
      </c>
      <c r="E67" s="2" t="s">
        <v>194</v>
      </c>
      <c r="F67" s="3">
        <v>93</v>
      </c>
      <c r="G67" s="3"/>
      <c r="H67" s="3">
        <v>9.5</v>
      </c>
      <c r="I67" s="3">
        <v>9</v>
      </c>
      <c r="J67" s="3"/>
      <c r="K67" s="4">
        <f t="shared" si="4"/>
        <v>92.666666666666671</v>
      </c>
      <c r="L67" s="4">
        <f t="shared" si="5"/>
        <v>8.1515151515151523</v>
      </c>
      <c r="M67" s="2" t="s">
        <v>195</v>
      </c>
    </row>
    <row r="68" spans="1:13" ht="63" customHeight="1">
      <c r="A68" s="17">
        <v>63</v>
      </c>
      <c r="B68" s="2" t="s">
        <v>196</v>
      </c>
      <c r="C68" s="3">
        <v>2010</v>
      </c>
      <c r="D68" s="2" t="s">
        <v>189</v>
      </c>
      <c r="E68" s="2" t="s">
        <v>197</v>
      </c>
      <c r="F68" s="3">
        <v>93</v>
      </c>
      <c r="G68" s="3">
        <v>93</v>
      </c>
      <c r="I68" s="3">
        <v>9</v>
      </c>
      <c r="J68" s="3">
        <v>93</v>
      </c>
      <c r="K68" s="4">
        <f t="shared" si="4"/>
        <v>92.25</v>
      </c>
      <c r="L68" s="4">
        <f t="shared" si="5"/>
        <v>8.1212121212121211</v>
      </c>
      <c r="M68" s="2" t="s">
        <v>198</v>
      </c>
    </row>
    <row r="69" spans="1:13" ht="63" customHeight="1">
      <c r="A69" s="17">
        <v>64</v>
      </c>
      <c r="B69" s="2" t="s">
        <v>199</v>
      </c>
      <c r="C69" s="3">
        <v>2002</v>
      </c>
      <c r="D69" s="2" t="s">
        <v>189</v>
      </c>
      <c r="E69" s="2" t="s">
        <v>197</v>
      </c>
      <c r="F69" s="3">
        <v>92</v>
      </c>
      <c r="G69" s="3"/>
      <c r="H69" s="3">
        <v>9.5</v>
      </c>
      <c r="I69" s="3">
        <v>9</v>
      </c>
      <c r="J69" s="3"/>
      <c r="K69" s="4">
        <f t="shared" si="4"/>
        <v>92.333333333333329</v>
      </c>
      <c r="L69" s="4">
        <f t="shared" si="5"/>
        <v>8.0909090909090899</v>
      </c>
      <c r="M69" s="2" t="s">
        <v>200</v>
      </c>
    </row>
    <row r="70" spans="1:13" ht="63" customHeight="1">
      <c r="A70" s="17">
        <v>65</v>
      </c>
      <c r="B70" s="2" t="s">
        <v>201</v>
      </c>
      <c r="C70" s="3">
        <v>2016</v>
      </c>
      <c r="D70" s="2" t="s">
        <v>189</v>
      </c>
      <c r="E70" s="2" t="s">
        <v>202</v>
      </c>
      <c r="F70" s="3">
        <v>91</v>
      </c>
      <c r="G70" s="3">
        <v>91</v>
      </c>
      <c r="H70" s="3">
        <v>9.5</v>
      </c>
      <c r="I70" s="3">
        <v>9</v>
      </c>
      <c r="J70" s="3">
        <v>90</v>
      </c>
      <c r="K70" s="4">
        <f t="shared" si="4"/>
        <v>91.4</v>
      </c>
      <c r="L70" s="4">
        <f t="shared" si="5"/>
        <v>8.0606060606060606</v>
      </c>
      <c r="M70" s="2" t="s">
        <v>203</v>
      </c>
    </row>
    <row r="71" spans="1:13" ht="63" customHeight="1">
      <c r="A71" s="17">
        <v>66</v>
      </c>
      <c r="B71" s="2" t="s">
        <v>204</v>
      </c>
      <c r="C71" s="3">
        <v>2009</v>
      </c>
      <c r="D71" s="2" t="s">
        <v>114</v>
      </c>
      <c r="E71" s="2" t="s">
        <v>83</v>
      </c>
      <c r="F71" s="3">
        <v>94</v>
      </c>
      <c r="G71" s="3">
        <v>94</v>
      </c>
      <c r="H71" s="3">
        <v>9.5</v>
      </c>
      <c r="I71" s="3">
        <v>9.5</v>
      </c>
      <c r="J71" s="3"/>
      <c r="K71" s="4">
        <f t="shared" si="4"/>
        <v>94.5</v>
      </c>
      <c r="L71" s="4">
        <f t="shared" si="5"/>
        <v>8.0303030303030312</v>
      </c>
      <c r="M71" s="2" t="s">
        <v>205</v>
      </c>
    </row>
    <row r="72" spans="1:13" ht="63" customHeight="1">
      <c r="A72" s="17">
        <v>67</v>
      </c>
      <c r="B72" s="2" t="s">
        <v>206</v>
      </c>
      <c r="C72" s="3">
        <v>2010</v>
      </c>
      <c r="D72" s="2" t="s">
        <v>207</v>
      </c>
      <c r="E72" s="2" t="s">
        <v>83</v>
      </c>
      <c r="F72" s="3">
        <v>88</v>
      </c>
      <c r="G72" s="3">
        <v>81</v>
      </c>
      <c r="H72" s="3">
        <v>9</v>
      </c>
      <c r="I72" s="3">
        <v>9</v>
      </c>
      <c r="J72" s="3"/>
      <c r="K72" s="4">
        <f t="shared" si="4"/>
        <v>87.25</v>
      </c>
      <c r="L72" s="4">
        <f t="shared" si="5"/>
        <v>8</v>
      </c>
      <c r="M72" s="2" t="s">
        <v>208</v>
      </c>
    </row>
    <row r="73" spans="1:13" ht="63" customHeight="1">
      <c r="A73" s="17">
        <v>68</v>
      </c>
      <c r="B73" s="2" t="s">
        <v>209</v>
      </c>
      <c r="C73" s="3">
        <v>2012</v>
      </c>
      <c r="D73" s="2" t="s">
        <v>207</v>
      </c>
      <c r="E73" s="2" t="s">
        <v>83</v>
      </c>
      <c r="F73" s="3">
        <v>83</v>
      </c>
      <c r="G73" s="3">
        <v>81</v>
      </c>
      <c r="H73" s="3">
        <v>9</v>
      </c>
      <c r="I73" s="3">
        <v>9</v>
      </c>
      <c r="J73" s="3">
        <v>85</v>
      </c>
      <c r="K73" s="4">
        <f t="shared" si="4"/>
        <v>85.8</v>
      </c>
      <c r="L73" s="4">
        <f t="shared" si="5"/>
        <v>7.9696969696969697</v>
      </c>
      <c r="M73" s="2" t="s">
        <v>210</v>
      </c>
    </row>
    <row r="74" spans="1:13" ht="63" customHeight="1">
      <c r="A74" s="17">
        <v>69</v>
      </c>
      <c r="B74" s="2" t="s">
        <v>211</v>
      </c>
      <c r="C74" s="3">
        <v>2016</v>
      </c>
      <c r="D74" s="2" t="s">
        <v>143</v>
      </c>
      <c r="E74" s="2" t="s">
        <v>83</v>
      </c>
      <c r="F74" s="3">
        <v>89</v>
      </c>
      <c r="G74" s="3">
        <v>87</v>
      </c>
      <c r="H74" s="3">
        <v>9</v>
      </c>
      <c r="I74" s="3">
        <v>8</v>
      </c>
      <c r="J74" s="3">
        <v>84</v>
      </c>
      <c r="K74" s="4">
        <f t="shared" si="4"/>
        <v>86</v>
      </c>
      <c r="L74" s="4">
        <f t="shared" si="5"/>
        <v>7.9393939393939394</v>
      </c>
      <c r="M74" s="2" t="s">
        <v>212</v>
      </c>
    </row>
    <row r="75" spans="1:13" ht="63" customHeight="1">
      <c r="A75" s="17">
        <v>70</v>
      </c>
      <c r="B75" s="2" t="s">
        <v>213</v>
      </c>
      <c r="C75" s="3">
        <v>2011</v>
      </c>
      <c r="D75" s="2" t="s">
        <v>143</v>
      </c>
      <c r="E75" s="2" t="s">
        <v>83</v>
      </c>
      <c r="F75" s="3">
        <v>85</v>
      </c>
      <c r="G75" s="3">
        <v>87</v>
      </c>
      <c r="H75" s="3">
        <v>9</v>
      </c>
      <c r="I75" s="3">
        <v>9</v>
      </c>
      <c r="J75" s="3"/>
      <c r="K75" s="4">
        <f t="shared" si="4"/>
        <v>88</v>
      </c>
      <c r="L75" s="4">
        <f t="shared" si="5"/>
        <v>7.9090909090909092</v>
      </c>
      <c r="M75" s="2" t="s">
        <v>214</v>
      </c>
    </row>
    <row r="76" spans="1:13" ht="63" customHeight="1">
      <c r="A76" s="17">
        <v>71</v>
      </c>
      <c r="B76" s="2" t="s">
        <v>215</v>
      </c>
      <c r="C76" s="3">
        <v>2013</v>
      </c>
      <c r="D76" s="2" t="s">
        <v>143</v>
      </c>
      <c r="E76" s="2" t="s">
        <v>83</v>
      </c>
      <c r="F76" s="3">
        <v>81</v>
      </c>
      <c r="G76" s="3">
        <v>84</v>
      </c>
      <c r="H76" s="3">
        <v>8.5</v>
      </c>
      <c r="I76" s="3">
        <v>8</v>
      </c>
      <c r="J76" s="3"/>
      <c r="K76" s="4">
        <f t="shared" si="4"/>
        <v>82.5</v>
      </c>
      <c r="L76" s="4">
        <f t="shared" si="5"/>
        <v>7.8787878787878789</v>
      </c>
      <c r="M76" s="2" t="s">
        <v>216</v>
      </c>
    </row>
    <row r="77" spans="1:13" ht="63" customHeight="1">
      <c r="A77" s="17">
        <v>72</v>
      </c>
      <c r="B77" s="2" t="s">
        <v>217</v>
      </c>
      <c r="C77" s="3">
        <v>2015</v>
      </c>
      <c r="D77" s="2" t="s">
        <v>218</v>
      </c>
      <c r="E77" s="2" t="s">
        <v>219</v>
      </c>
      <c r="F77" s="3">
        <v>95</v>
      </c>
      <c r="G77" s="3">
        <v>91</v>
      </c>
      <c r="H77" s="3">
        <v>10</v>
      </c>
      <c r="I77" s="3">
        <v>10</v>
      </c>
      <c r="J77" s="3">
        <v>95</v>
      </c>
      <c r="K77" s="4">
        <f t="shared" si="4"/>
        <v>96.2</v>
      </c>
      <c r="L77" s="4">
        <f t="shared" si="5"/>
        <v>7.8484848484848486</v>
      </c>
      <c r="M77" s="2" t="s">
        <v>220</v>
      </c>
    </row>
    <row r="78" spans="1:13" ht="63" customHeight="1">
      <c r="A78" s="17">
        <v>73</v>
      </c>
      <c r="B78" s="2" t="s">
        <v>222</v>
      </c>
      <c r="C78" s="3">
        <v>2016</v>
      </c>
      <c r="D78" s="2" t="s">
        <v>223</v>
      </c>
      <c r="E78" s="2" t="s">
        <v>224</v>
      </c>
      <c r="F78" s="3">
        <v>85</v>
      </c>
      <c r="G78" s="3">
        <v>84</v>
      </c>
      <c r="H78" s="3">
        <v>9</v>
      </c>
      <c r="I78" s="3">
        <v>8</v>
      </c>
      <c r="J78" s="3">
        <v>88</v>
      </c>
      <c r="K78" s="4">
        <f t="shared" si="4"/>
        <v>85.4</v>
      </c>
      <c r="L78" s="4">
        <f t="shared" si="5"/>
        <v>7.8181818181818183</v>
      </c>
      <c r="M78" s="2" t="s">
        <v>225</v>
      </c>
    </row>
    <row r="79" spans="1:13" ht="63" customHeight="1">
      <c r="A79" s="17">
        <v>74</v>
      </c>
      <c r="B79" s="2" t="s">
        <v>226</v>
      </c>
      <c r="C79" s="3">
        <v>2016</v>
      </c>
      <c r="D79" s="2" t="s">
        <v>121</v>
      </c>
      <c r="E79" s="2" t="s">
        <v>122</v>
      </c>
      <c r="F79" s="3">
        <v>88</v>
      </c>
      <c r="G79" s="3">
        <v>88</v>
      </c>
      <c r="H79" s="3">
        <v>9</v>
      </c>
      <c r="I79" s="3">
        <v>9</v>
      </c>
      <c r="J79" s="3">
        <v>88</v>
      </c>
      <c r="K79" s="4">
        <f t="shared" si="4"/>
        <v>88.8</v>
      </c>
      <c r="L79" s="4">
        <f t="shared" si="5"/>
        <v>7.7878787878787872</v>
      </c>
      <c r="M79" s="2" t="s">
        <v>227</v>
      </c>
    </row>
    <row r="80" spans="1:13" ht="63" customHeight="1">
      <c r="A80" s="17">
        <v>75</v>
      </c>
      <c r="B80" s="2" t="s">
        <v>228</v>
      </c>
      <c r="C80" s="3">
        <v>2017</v>
      </c>
      <c r="D80" s="2" t="s">
        <v>121</v>
      </c>
      <c r="E80" s="2" t="s">
        <v>229</v>
      </c>
      <c r="F80" s="3">
        <v>84</v>
      </c>
      <c r="G80" s="3">
        <v>82</v>
      </c>
      <c r="H80" s="3">
        <v>8</v>
      </c>
      <c r="I80" s="3">
        <v>8</v>
      </c>
      <c r="J80" s="3">
        <v>84</v>
      </c>
      <c r="K80" s="4">
        <f t="shared" si="4"/>
        <v>82</v>
      </c>
      <c r="L80" s="4">
        <f t="shared" si="5"/>
        <v>7.7575757575757578</v>
      </c>
      <c r="M80" s="2" t="s">
        <v>230</v>
      </c>
    </row>
    <row r="81" spans="1:13" ht="63" customHeight="1">
      <c r="A81" s="17">
        <v>76</v>
      </c>
      <c r="B81" s="2" t="s">
        <v>231</v>
      </c>
      <c r="C81" s="3">
        <v>2017</v>
      </c>
      <c r="D81" s="2" t="s">
        <v>232</v>
      </c>
      <c r="E81" s="2" t="s">
        <v>96</v>
      </c>
      <c r="F81" s="3">
        <v>82</v>
      </c>
      <c r="G81" s="3">
        <v>80</v>
      </c>
      <c r="H81" s="3">
        <v>8</v>
      </c>
      <c r="I81" s="3">
        <v>8</v>
      </c>
      <c r="J81" s="3">
        <v>80</v>
      </c>
      <c r="K81" s="4">
        <f t="shared" si="4"/>
        <v>80.400000000000006</v>
      </c>
      <c r="L81" s="4">
        <f t="shared" si="5"/>
        <v>7.7272727272727266</v>
      </c>
      <c r="M81" s="2" t="s">
        <v>233</v>
      </c>
    </row>
    <row r="82" spans="1:13" ht="63" customHeight="1">
      <c r="A82" s="17">
        <v>77</v>
      </c>
      <c r="B82" s="2" t="s">
        <v>94</v>
      </c>
      <c r="C82" s="3">
        <v>2017</v>
      </c>
      <c r="D82" s="2" t="s">
        <v>95</v>
      </c>
      <c r="E82" s="2" t="s">
        <v>96</v>
      </c>
      <c r="F82" s="3">
        <v>86</v>
      </c>
      <c r="G82" s="3">
        <v>86</v>
      </c>
      <c r="H82" s="3">
        <v>7.7</v>
      </c>
      <c r="I82" s="3">
        <v>8</v>
      </c>
      <c r="J82" s="3">
        <v>89</v>
      </c>
      <c r="K82" s="4">
        <f t="shared" si="4"/>
        <v>83.6</v>
      </c>
      <c r="L82" s="4">
        <f t="shared" si="5"/>
        <v>7.6969696969696972</v>
      </c>
      <c r="M82" s="2" t="s">
        <v>97</v>
      </c>
    </row>
    <row r="83" spans="1:13" ht="63" customHeight="1">
      <c r="A83" s="17">
        <v>78</v>
      </c>
      <c r="B83" s="2" t="s">
        <v>234</v>
      </c>
      <c r="C83" s="3">
        <v>2020</v>
      </c>
      <c r="D83" s="2" t="s">
        <v>95</v>
      </c>
      <c r="E83" s="2" t="s">
        <v>96</v>
      </c>
      <c r="F83" s="3">
        <v>79</v>
      </c>
      <c r="G83" s="3">
        <v>84</v>
      </c>
      <c r="H83" s="3">
        <v>9</v>
      </c>
      <c r="I83" s="3">
        <v>6</v>
      </c>
      <c r="J83" s="3">
        <v>77</v>
      </c>
      <c r="K83" s="4">
        <f t="shared" si="4"/>
        <v>78</v>
      </c>
      <c r="L83" s="4">
        <f t="shared" si="5"/>
        <v>7.6666666666666661</v>
      </c>
      <c r="M83" s="2" t="s">
        <v>235</v>
      </c>
    </row>
    <row r="84" spans="1:13" ht="63" customHeight="1">
      <c r="A84" s="17">
        <v>79</v>
      </c>
      <c r="B84" s="2" t="s">
        <v>236</v>
      </c>
      <c r="C84" s="3">
        <v>2021</v>
      </c>
      <c r="D84" s="2" t="s">
        <v>95</v>
      </c>
      <c r="E84" s="2" t="s">
        <v>100</v>
      </c>
      <c r="F84" s="3">
        <v>84</v>
      </c>
      <c r="G84" s="3">
        <v>84</v>
      </c>
      <c r="H84" s="3">
        <v>8</v>
      </c>
      <c r="I84" s="3">
        <v>8</v>
      </c>
      <c r="J84" s="3">
        <v>80</v>
      </c>
      <c r="K84" s="4">
        <f t="shared" si="4"/>
        <v>81.599999999999994</v>
      </c>
      <c r="L84" s="4">
        <f t="shared" si="5"/>
        <v>7.6363636363636367</v>
      </c>
      <c r="M84" s="2" t="s">
        <v>237</v>
      </c>
    </row>
    <row r="85" spans="1:13" ht="63" customHeight="1">
      <c r="A85" s="17">
        <v>80</v>
      </c>
      <c r="B85" s="2" t="s">
        <v>238</v>
      </c>
      <c r="C85" s="3">
        <v>2009</v>
      </c>
      <c r="D85" s="2" t="s">
        <v>95</v>
      </c>
      <c r="E85" s="2" t="s">
        <v>239</v>
      </c>
      <c r="F85" s="3">
        <v>84</v>
      </c>
      <c r="G85" s="3">
        <v>76</v>
      </c>
      <c r="H85" s="3">
        <v>8.5</v>
      </c>
      <c r="I85" s="3">
        <v>8</v>
      </c>
      <c r="J85" s="3"/>
      <c r="K85" s="4">
        <f t="shared" si="4"/>
        <v>81.25</v>
      </c>
      <c r="L85" s="4">
        <f t="shared" si="5"/>
        <v>7.6060606060606055</v>
      </c>
      <c r="M85" s="2" t="s">
        <v>240</v>
      </c>
    </row>
    <row r="86" spans="1:13" ht="63" customHeight="1">
      <c r="A86" s="17">
        <v>81</v>
      </c>
      <c r="B86" s="2" t="s">
        <v>241</v>
      </c>
      <c r="C86" s="3">
        <v>2014</v>
      </c>
      <c r="D86" s="2" t="s">
        <v>242</v>
      </c>
      <c r="E86" s="2" t="s">
        <v>219</v>
      </c>
      <c r="F86" s="3">
        <v>84</v>
      </c>
      <c r="G86" s="3">
        <v>84</v>
      </c>
      <c r="H86" s="3">
        <v>9.3000000000000007</v>
      </c>
      <c r="I86" s="3">
        <v>8</v>
      </c>
      <c r="J86" s="3">
        <v>79</v>
      </c>
      <c r="K86" s="4">
        <f t="shared" si="4"/>
        <v>84</v>
      </c>
      <c r="L86" s="4">
        <f t="shared" si="5"/>
        <v>7.5757575757575761</v>
      </c>
      <c r="M86" s="2" t="s">
        <v>243</v>
      </c>
    </row>
    <row r="87" spans="1:13" ht="63" customHeight="1">
      <c r="A87" s="17">
        <v>82</v>
      </c>
      <c r="B87" s="2" t="s">
        <v>244</v>
      </c>
      <c r="C87" s="3">
        <v>2017</v>
      </c>
      <c r="D87" s="2" t="s">
        <v>242</v>
      </c>
      <c r="E87" s="2" t="s">
        <v>219</v>
      </c>
      <c r="F87" s="3">
        <v>80</v>
      </c>
      <c r="G87" s="3">
        <v>80</v>
      </c>
      <c r="H87" s="3">
        <v>8</v>
      </c>
      <c r="I87" s="3">
        <v>7.5</v>
      </c>
      <c r="J87" s="3">
        <v>81</v>
      </c>
      <c r="K87" s="4">
        <f t="shared" si="4"/>
        <v>79.2</v>
      </c>
      <c r="L87" s="4">
        <f t="shared" si="5"/>
        <v>7.545454545454545</v>
      </c>
      <c r="M87" s="2" t="s">
        <v>245</v>
      </c>
    </row>
    <row r="88" spans="1:13" ht="63" customHeight="1">
      <c r="A88" s="17">
        <v>83</v>
      </c>
      <c r="B88" s="2" t="s">
        <v>246</v>
      </c>
      <c r="C88" s="3">
        <v>2023</v>
      </c>
      <c r="D88" s="2" t="s">
        <v>247</v>
      </c>
      <c r="E88" s="2" t="s">
        <v>63</v>
      </c>
      <c r="F88" s="3">
        <v>84</v>
      </c>
      <c r="G88" s="3">
        <v>84</v>
      </c>
      <c r="H88" s="3">
        <v>9</v>
      </c>
      <c r="I88" s="3">
        <v>8</v>
      </c>
      <c r="J88" s="3">
        <v>85</v>
      </c>
      <c r="K88" s="4">
        <f t="shared" ref="K88:K119" si="6">IF((COUNT(F88,G88,J88)+IF(H88="",0,1)+IF(I88="",0,1))=0,"",(SUM(F88,G88,J88)+IF(H88="",0,H88*10)+IF(I88="",0,I88*10))/(COUNT(F88,G88,J88)+IF(H88="",0,1)+IF(I88="",0,1)))</f>
        <v>84.6</v>
      </c>
      <c r="L88" s="4">
        <f t="shared" ref="L88:L105" si="7">10-((A88-1)*(3/99))</f>
        <v>7.5151515151515156</v>
      </c>
      <c r="M88" s="2" t="s">
        <v>248</v>
      </c>
    </row>
    <row r="89" spans="1:13" ht="63" customHeight="1">
      <c r="A89" s="17">
        <v>84</v>
      </c>
      <c r="B89" s="2" t="s">
        <v>249</v>
      </c>
      <c r="C89" s="3">
        <v>2023</v>
      </c>
      <c r="D89" s="2" t="s">
        <v>250</v>
      </c>
      <c r="E89" s="2" t="s">
        <v>118</v>
      </c>
      <c r="F89" s="3">
        <v>90</v>
      </c>
      <c r="G89" s="3">
        <v>90</v>
      </c>
      <c r="H89" s="3">
        <v>8</v>
      </c>
      <c r="I89" s="3">
        <v>8</v>
      </c>
      <c r="J89" s="3">
        <v>89</v>
      </c>
      <c r="K89" s="4">
        <f t="shared" si="6"/>
        <v>85.8</v>
      </c>
      <c r="L89" s="4">
        <f t="shared" si="7"/>
        <v>7.4848484848484844</v>
      </c>
      <c r="M89" s="2" t="s">
        <v>251</v>
      </c>
    </row>
    <row r="90" spans="1:13" ht="63" customHeight="1">
      <c r="A90" s="17">
        <v>85</v>
      </c>
      <c r="B90" s="2" t="s">
        <v>252</v>
      </c>
      <c r="C90" s="3">
        <v>2021</v>
      </c>
      <c r="D90" s="2" t="s">
        <v>250</v>
      </c>
      <c r="E90" s="2" t="s">
        <v>253</v>
      </c>
      <c r="F90" s="3">
        <v>88</v>
      </c>
      <c r="G90" s="3">
        <v>89</v>
      </c>
      <c r="H90" s="3">
        <v>9</v>
      </c>
      <c r="I90" s="3">
        <v>9</v>
      </c>
      <c r="J90" s="3">
        <v>85</v>
      </c>
      <c r="K90" s="4">
        <f t="shared" si="6"/>
        <v>88.4</v>
      </c>
      <c r="L90" s="4">
        <f t="shared" si="7"/>
        <v>7.454545454545455</v>
      </c>
      <c r="M90" s="2" t="s">
        <v>254</v>
      </c>
    </row>
    <row r="91" spans="1:13" ht="63" customHeight="1">
      <c r="A91" s="17">
        <v>86</v>
      </c>
      <c r="B91" s="2" t="s">
        <v>255</v>
      </c>
      <c r="C91" s="3">
        <v>2021</v>
      </c>
      <c r="D91" s="2" t="s">
        <v>256</v>
      </c>
      <c r="E91" s="2" t="s">
        <v>257</v>
      </c>
      <c r="F91" s="3">
        <v>86</v>
      </c>
      <c r="G91" s="3">
        <v>85</v>
      </c>
      <c r="H91" s="3">
        <v>9</v>
      </c>
      <c r="I91" s="3">
        <v>8</v>
      </c>
      <c r="J91" s="3">
        <v>88</v>
      </c>
      <c r="K91" s="4">
        <f t="shared" si="6"/>
        <v>85.8</v>
      </c>
      <c r="L91" s="4">
        <f t="shared" si="7"/>
        <v>7.4242424242424239</v>
      </c>
      <c r="M91" s="2" t="s">
        <v>258</v>
      </c>
    </row>
    <row r="92" spans="1:13" ht="63" customHeight="1">
      <c r="A92" s="17">
        <v>87</v>
      </c>
      <c r="B92" s="2" t="s">
        <v>259</v>
      </c>
      <c r="C92" s="3">
        <v>2021</v>
      </c>
      <c r="D92" s="2" t="s">
        <v>121</v>
      </c>
      <c r="E92" s="2" t="s">
        <v>260</v>
      </c>
      <c r="F92" s="3">
        <v>89</v>
      </c>
      <c r="G92" s="3">
        <v>87</v>
      </c>
      <c r="H92" s="3">
        <v>10</v>
      </c>
      <c r="I92" s="3">
        <v>10</v>
      </c>
      <c r="J92" s="3">
        <v>91</v>
      </c>
      <c r="K92" s="4">
        <f t="shared" si="6"/>
        <v>93.4</v>
      </c>
      <c r="L92" s="4">
        <f t="shared" si="7"/>
        <v>7.3939393939393945</v>
      </c>
      <c r="M92" s="2" t="s">
        <v>261</v>
      </c>
    </row>
    <row r="93" spans="1:13" ht="63" customHeight="1">
      <c r="A93" s="17">
        <v>88</v>
      </c>
      <c r="B93" s="2" t="s">
        <v>262</v>
      </c>
      <c r="C93" s="3">
        <v>2019</v>
      </c>
      <c r="D93" s="2" t="s">
        <v>263</v>
      </c>
      <c r="E93" s="2" t="s">
        <v>219</v>
      </c>
      <c r="F93" s="3">
        <v>71</v>
      </c>
      <c r="G93" s="3">
        <v>76</v>
      </c>
      <c r="H93" s="3">
        <v>6.5</v>
      </c>
      <c r="I93" s="3">
        <v>5</v>
      </c>
      <c r="J93" s="3">
        <v>74</v>
      </c>
      <c r="K93" s="4">
        <f t="shared" si="6"/>
        <v>67.2</v>
      </c>
      <c r="L93" s="4">
        <f t="shared" si="7"/>
        <v>7.3636363636363633</v>
      </c>
      <c r="M93" s="2" t="s">
        <v>264</v>
      </c>
    </row>
    <row r="94" spans="1:13" ht="63" customHeight="1">
      <c r="A94" s="17">
        <v>89</v>
      </c>
      <c r="B94" s="2" t="s">
        <v>265</v>
      </c>
      <c r="C94" s="3">
        <v>2016</v>
      </c>
      <c r="D94" s="2" t="s">
        <v>266</v>
      </c>
      <c r="E94" s="2" t="s">
        <v>267</v>
      </c>
      <c r="F94" s="3">
        <v>80</v>
      </c>
      <c r="G94" s="3">
        <v>80</v>
      </c>
      <c r="H94" s="3">
        <v>6.7</v>
      </c>
      <c r="I94" s="3">
        <v>6</v>
      </c>
      <c r="J94" s="3">
        <v>74</v>
      </c>
      <c r="K94" s="4">
        <f t="shared" si="6"/>
        <v>72.2</v>
      </c>
      <c r="L94" s="4">
        <f t="shared" si="7"/>
        <v>7.333333333333333</v>
      </c>
      <c r="M94" s="2" t="s">
        <v>268</v>
      </c>
    </row>
    <row r="95" spans="1:13" ht="63" customHeight="1">
      <c r="A95" s="17">
        <v>90</v>
      </c>
      <c r="B95" s="2" t="s">
        <v>269</v>
      </c>
      <c r="C95" s="3">
        <v>2019</v>
      </c>
      <c r="D95" s="2" t="s">
        <v>266</v>
      </c>
      <c r="E95" s="2" t="s">
        <v>267</v>
      </c>
      <c r="F95" s="3">
        <v>84</v>
      </c>
      <c r="G95" s="3">
        <v>84</v>
      </c>
      <c r="H95" s="3">
        <v>8.5</v>
      </c>
      <c r="I95" s="3">
        <v>8</v>
      </c>
      <c r="J95" s="3">
        <v>84</v>
      </c>
      <c r="K95" s="4">
        <f t="shared" si="6"/>
        <v>83.4</v>
      </c>
      <c r="L95" s="4">
        <f t="shared" si="7"/>
        <v>7.3030303030303028</v>
      </c>
      <c r="M95" s="2" t="s">
        <v>270</v>
      </c>
    </row>
    <row r="96" spans="1:13" ht="63" customHeight="1">
      <c r="A96" s="17">
        <v>91</v>
      </c>
      <c r="B96" s="2" t="s">
        <v>271</v>
      </c>
      <c r="C96" s="3">
        <v>2017</v>
      </c>
      <c r="D96" s="2" t="s">
        <v>117</v>
      </c>
      <c r="E96" s="2" t="s">
        <v>63</v>
      </c>
      <c r="F96" s="3">
        <v>81</v>
      </c>
      <c r="G96" s="3">
        <v>81</v>
      </c>
      <c r="H96" s="3">
        <v>8.5</v>
      </c>
      <c r="I96" s="3">
        <v>8</v>
      </c>
      <c r="J96" s="3">
        <v>80</v>
      </c>
      <c r="K96" s="4">
        <f t="shared" si="6"/>
        <v>81.400000000000006</v>
      </c>
      <c r="L96" s="4">
        <f t="shared" si="7"/>
        <v>7.2727272727272725</v>
      </c>
      <c r="M96" s="2" t="s">
        <v>272</v>
      </c>
    </row>
    <row r="97" spans="1:13" ht="63" customHeight="1">
      <c r="A97" s="17">
        <v>92</v>
      </c>
      <c r="B97" s="2" t="s">
        <v>273</v>
      </c>
      <c r="C97" s="3">
        <v>2018</v>
      </c>
      <c r="D97" s="2" t="s">
        <v>274</v>
      </c>
      <c r="E97" s="2" t="s">
        <v>63</v>
      </c>
      <c r="F97" s="3">
        <v>85</v>
      </c>
      <c r="G97" s="3">
        <v>87</v>
      </c>
      <c r="H97" s="3">
        <v>8.5</v>
      </c>
      <c r="I97" s="3">
        <v>7.5</v>
      </c>
      <c r="J97" s="3">
        <v>83</v>
      </c>
      <c r="K97" s="4">
        <f t="shared" si="6"/>
        <v>83</v>
      </c>
      <c r="L97" s="4">
        <f t="shared" si="7"/>
        <v>7.2424242424242422</v>
      </c>
      <c r="M97" s="2" t="s">
        <v>275</v>
      </c>
    </row>
    <row r="98" spans="1:13" ht="63" customHeight="1">
      <c r="A98" s="17">
        <v>93</v>
      </c>
      <c r="B98" s="2" t="s">
        <v>276</v>
      </c>
      <c r="C98" s="3">
        <v>2020</v>
      </c>
      <c r="D98" s="2" t="s">
        <v>117</v>
      </c>
      <c r="E98" s="2" t="s">
        <v>63</v>
      </c>
      <c r="F98" s="3">
        <v>80</v>
      </c>
      <c r="G98" s="3">
        <v>80</v>
      </c>
      <c r="H98" s="3">
        <v>8</v>
      </c>
      <c r="I98" s="3">
        <v>8</v>
      </c>
      <c r="J98" s="3">
        <v>82</v>
      </c>
      <c r="K98" s="4">
        <f t="shared" si="6"/>
        <v>80.400000000000006</v>
      </c>
      <c r="L98" s="4">
        <f t="shared" si="7"/>
        <v>7.2121212121212119</v>
      </c>
      <c r="M98" s="2" t="s">
        <v>277</v>
      </c>
    </row>
    <row r="99" spans="1:13" ht="63" customHeight="1">
      <c r="A99" s="17">
        <v>94</v>
      </c>
      <c r="B99" s="2" t="s">
        <v>278</v>
      </c>
      <c r="C99" s="3">
        <v>2016</v>
      </c>
      <c r="D99" s="2" t="s">
        <v>117</v>
      </c>
      <c r="E99" s="2" t="s">
        <v>219</v>
      </c>
      <c r="F99" s="3">
        <v>82</v>
      </c>
      <c r="G99" s="3">
        <v>81</v>
      </c>
      <c r="H99" s="3">
        <v>8.5</v>
      </c>
      <c r="I99" s="3">
        <v>8</v>
      </c>
      <c r="J99" s="3">
        <v>80</v>
      </c>
      <c r="K99" s="4">
        <f t="shared" si="6"/>
        <v>81.599999999999994</v>
      </c>
      <c r="L99" s="4">
        <f t="shared" si="7"/>
        <v>7.1818181818181817</v>
      </c>
      <c r="M99" s="2" t="s">
        <v>279</v>
      </c>
    </row>
    <row r="100" spans="1:13" ht="63" customHeight="1">
      <c r="A100" s="17">
        <v>95</v>
      </c>
      <c r="B100" s="2" t="s">
        <v>280</v>
      </c>
      <c r="C100" s="3">
        <v>2012</v>
      </c>
      <c r="D100" s="2" t="s">
        <v>281</v>
      </c>
      <c r="E100" s="2" t="s">
        <v>219</v>
      </c>
      <c r="F100" s="3">
        <v>80</v>
      </c>
      <c r="G100" s="3">
        <v>79</v>
      </c>
      <c r="H100" s="3">
        <v>9</v>
      </c>
      <c r="I100" s="3">
        <v>8</v>
      </c>
      <c r="J100" s="3">
        <v>79</v>
      </c>
      <c r="K100" s="4">
        <f t="shared" si="6"/>
        <v>81.599999999999994</v>
      </c>
      <c r="L100" s="4">
        <f t="shared" si="7"/>
        <v>7.1515151515151514</v>
      </c>
      <c r="M100" s="2" t="s">
        <v>282</v>
      </c>
    </row>
    <row r="101" spans="1:13" ht="63" customHeight="1">
      <c r="A101" s="17">
        <v>96</v>
      </c>
      <c r="B101" s="2" t="s">
        <v>283</v>
      </c>
      <c r="C101" s="3">
        <v>2015</v>
      </c>
      <c r="D101" s="2" t="s">
        <v>284</v>
      </c>
      <c r="E101" s="2" t="s">
        <v>219</v>
      </c>
      <c r="F101" s="3">
        <v>74</v>
      </c>
      <c r="G101" s="3">
        <v>73</v>
      </c>
      <c r="H101" s="3">
        <v>8</v>
      </c>
      <c r="I101" s="3">
        <v>7</v>
      </c>
      <c r="J101" s="3">
        <v>76</v>
      </c>
      <c r="K101" s="4">
        <f t="shared" si="6"/>
        <v>74.599999999999994</v>
      </c>
      <c r="L101" s="4">
        <f t="shared" si="7"/>
        <v>7.1212121212121211</v>
      </c>
      <c r="M101" s="2" t="s">
        <v>285</v>
      </c>
    </row>
    <row r="102" spans="1:13" ht="63" customHeight="1">
      <c r="A102" s="17">
        <v>97</v>
      </c>
      <c r="B102" s="2" t="s">
        <v>286</v>
      </c>
      <c r="C102" s="3">
        <v>2012</v>
      </c>
      <c r="D102" s="2" t="s">
        <v>287</v>
      </c>
      <c r="E102" s="2" t="s">
        <v>288</v>
      </c>
      <c r="F102" s="3">
        <v>87</v>
      </c>
      <c r="G102" s="3">
        <v>86</v>
      </c>
      <c r="H102" s="3">
        <v>9</v>
      </c>
      <c r="I102" s="3">
        <v>9</v>
      </c>
      <c r="J102" s="3">
        <v>89</v>
      </c>
      <c r="K102" s="4">
        <f t="shared" si="6"/>
        <v>88.4</v>
      </c>
      <c r="L102" s="4">
        <f t="shared" si="7"/>
        <v>7.0909090909090908</v>
      </c>
      <c r="M102" s="2" t="s">
        <v>289</v>
      </c>
    </row>
    <row r="103" spans="1:13" ht="63" customHeight="1">
      <c r="A103" s="17">
        <v>98</v>
      </c>
      <c r="B103" s="2" t="s">
        <v>290</v>
      </c>
      <c r="C103" s="3">
        <v>2013</v>
      </c>
      <c r="D103" s="2" t="s">
        <v>291</v>
      </c>
      <c r="E103" s="2" t="s">
        <v>35</v>
      </c>
      <c r="F103" s="3">
        <v>86</v>
      </c>
      <c r="G103" s="3">
        <v>85</v>
      </c>
      <c r="H103" s="3">
        <v>9.1</v>
      </c>
      <c r="I103" s="3">
        <v>8.5</v>
      </c>
      <c r="J103" s="3">
        <v>85</v>
      </c>
      <c r="K103" s="4">
        <f t="shared" si="6"/>
        <v>86.4</v>
      </c>
      <c r="L103" s="4">
        <f t="shared" si="7"/>
        <v>7.0606060606060606</v>
      </c>
      <c r="M103" s="2" t="s">
        <v>292</v>
      </c>
    </row>
    <row r="104" spans="1:13" ht="63" customHeight="1">
      <c r="A104" s="17">
        <v>99</v>
      </c>
      <c r="B104" s="2" t="s">
        <v>293</v>
      </c>
      <c r="C104" s="3">
        <v>2015</v>
      </c>
      <c r="D104" s="2" t="s">
        <v>291</v>
      </c>
      <c r="E104" s="2" t="s">
        <v>35</v>
      </c>
      <c r="F104" s="3">
        <v>88</v>
      </c>
      <c r="G104" s="3">
        <v>86</v>
      </c>
      <c r="H104" s="3">
        <v>9</v>
      </c>
      <c r="I104" s="3">
        <v>8.5</v>
      </c>
      <c r="J104" s="3">
        <v>86</v>
      </c>
      <c r="K104" s="4">
        <f t="shared" si="6"/>
        <v>87</v>
      </c>
      <c r="L104" s="4">
        <f t="shared" si="7"/>
        <v>7.0303030303030303</v>
      </c>
      <c r="M104" s="2" t="s">
        <v>294</v>
      </c>
    </row>
    <row r="105" spans="1:13" ht="63" customHeight="1">
      <c r="A105" s="18">
        <v>100</v>
      </c>
      <c r="B105" s="19" t="s">
        <v>295</v>
      </c>
      <c r="C105" s="20">
        <v>2011</v>
      </c>
      <c r="D105" s="19" t="s">
        <v>296</v>
      </c>
      <c r="E105" s="19" t="s">
        <v>297</v>
      </c>
      <c r="F105" s="20">
        <v>83</v>
      </c>
      <c r="G105" s="20">
        <v>83</v>
      </c>
      <c r="H105" s="20">
        <v>8.5</v>
      </c>
      <c r="I105" s="20">
        <v>7.5</v>
      </c>
      <c r="J105" s="20">
        <v>82</v>
      </c>
      <c r="K105" s="21">
        <f t="shared" si="6"/>
        <v>81.599999999999994</v>
      </c>
      <c r="L105" s="21">
        <f t="shared" si="7"/>
        <v>7</v>
      </c>
      <c r="M105" s="19" t="s">
        <v>298</v>
      </c>
    </row>
  </sheetData>
  <mergeCells count="3">
    <mergeCell ref="A1:O1"/>
    <mergeCell ref="A2:O2"/>
    <mergeCell ref="A55:N55"/>
  </mergeCells>
  <conditionalFormatting sqref="A5:A54">
    <cfRule type="dataBar" priority="1">
      <dataBar>
        <cfvo type="min"/>
        <cfvo type="max"/>
        <color rgb="FFA02B93"/>
      </dataBar>
    </cfRule>
    <cfRule type="dataBar" priority="5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{F67E26B5-FF3A-2812-94FC-4746DBA92E5A}</x14:id>
        </ext>
      </extLst>
    </cfRule>
  </conditionalFormatting>
  <conditionalFormatting sqref="A5:A105">
    <cfRule type="dataBar" priority="3">
      <dataBar>
        <cfvo type="min"/>
        <cfvo type="max"/>
        <color rgb="FFA02B93"/>
      </dataBar>
    </cfRule>
    <cfRule type="dataBar" priority="6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{0F478BD0-4601-E9CC-DE94-BDED216BCC89}</x14:id>
        </ext>
      </extLst>
    </cfRule>
  </conditionalFormatting>
  <conditionalFormatting sqref="K5:K54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5:K105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7E26B5-FF3A-2812-94FC-4746DBA92E5A}">
            <x14:dataBar>
              <x14:cfvo type="min"/>
              <x14:cfvo type="max"/>
              <x14:negativeFillColor auto="1"/>
              <x14:axisColor auto="1"/>
            </x14:dataBar>
          </x14:cfRule>
          <xm:sqref>A5:A54</xm:sqref>
        </x14:conditionalFormatting>
        <x14:conditionalFormatting xmlns:xm="http://schemas.microsoft.com/office/excel/2006/main">
          <x14:cfRule type="dataBar" id="{0F478BD0-4601-E9CC-DE94-BDED216BCC89}">
            <x14:dataBar>
              <x14:cfvo type="min"/>
              <x14:cfvo type="max"/>
              <x14:negativeFillColor auto="1"/>
              <x14:axisColor auto="1"/>
            </x14:dataBar>
          </x14:cfRule>
          <xm:sqref>A5:A105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workbookViewId="0">
      <selection activeCell="J15" sqref="J15"/>
    </sheetView>
  </sheetViews>
  <sheetFormatPr defaultRowHeight="14.25"/>
  <cols>
    <col min="1" max="8" width="15" customWidth="1"/>
  </cols>
  <sheetData>
    <row r="1" spans="1:8" ht="20.25">
      <c r="A1" s="40" t="s">
        <v>321</v>
      </c>
      <c r="B1" s="34"/>
      <c r="C1" s="34"/>
      <c r="D1" s="34"/>
      <c r="E1" s="34"/>
      <c r="F1" s="34"/>
      <c r="G1" s="34"/>
      <c r="H1" s="34"/>
    </row>
    <row r="2" spans="1:8">
      <c r="A2" s="41" t="s">
        <v>300</v>
      </c>
      <c r="B2" s="34"/>
      <c r="C2" s="34"/>
      <c r="D2" s="34"/>
      <c r="E2" s="34"/>
      <c r="F2" s="34"/>
      <c r="G2" s="34"/>
      <c r="H2" s="34"/>
    </row>
    <row r="4" spans="1:8" ht="15.75">
      <c r="A4" s="42" t="s">
        <v>15</v>
      </c>
      <c r="B4" s="34"/>
      <c r="C4" s="34"/>
      <c r="D4" s="34"/>
      <c r="E4" s="42" t="s">
        <v>19</v>
      </c>
      <c r="F4" s="34"/>
      <c r="G4" s="34"/>
      <c r="H4" s="34"/>
    </row>
    <row r="5" spans="1:8">
      <c r="A5" s="34"/>
      <c r="B5" s="34"/>
      <c r="C5" s="34"/>
      <c r="D5" s="34"/>
      <c r="E5" s="34"/>
      <c r="F5" s="34"/>
      <c r="G5" s="34"/>
      <c r="H5" s="34"/>
    </row>
    <row r="6" spans="1:8">
      <c r="A6" s="34"/>
      <c r="B6" s="34"/>
      <c r="C6" s="34"/>
      <c r="D6" s="34"/>
      <c r="E6" s="34"/>
      <c r="F6" s="34"/>
      <c r="G6" s="34"/>
      <c r="H6" s="34"/>
    </row>
    <row r="7" spans="1:8">
      <c r="A7" s="34"/>
      <c r="B7" s="34"/>
      <c r="C7" s="34"/>
      <c r="D7" s="34"/>
      <c r="E7" s="34"/>
      <c r="F7" s="34"/>
      <c r="G7" s="34"/>
      <c r="H7" s="34"/>
    </row>
    <row r="8" spans="1:8">
      <c r="A8" s="34"/>
      <c r="B8" s="34"/>
      <c r="C8" s="34"/>
      <c r="D8" s="34"/>
      <c r="E8" s="34"/>
      <c r="F8" s="34"/>
      <c r="G8" s="34"/>
      <c r="H8" s="34"/>
    </row>
    <row r="9" spans="1:8">
      <c r="A9" s="34"/>
      <c r="B9" s="34"/>
      <c r="C9" s="34"/>
      <c r="D9" s="34"/>
      <c r="E9" s="34"/>
      <c r="F9" s="34"/>
      <c r="G9" s="34"/>
      <c r="H9" s="34"/>
    </row>
    <row r="10" spans="1:8">
      <c r="A10" s="34"/>
      <c r="B10" s="34"/>
      <c r="C10" s="34"/>
      <c r="D10" s="34"/>
      <c r="E10" s="34"/>
      <c r="F10" s="34"/>
      <c r="G10" s="34"/>
      <c r="H10" s="34"/>
    </row>
    <row r="11" spans="1:8">
      <c r="A11" s="34"/>
      <c r="B11" s="34"/>
      <c r="C11" s="34"/>
      <c r="D11" s="34"/>
      <c r="E11" s="34"/>
      <c r="F11" s="34"/>
      <c r="G11" s="34"/>
      <c r="H11" s="34"/>
    </row>
    <row r="12" spans="1:8">
      <c r="A12" s="34"/>
      <c r="B12" s="34"/>
      <c r="C12" s="34"/>
      <c r="D12" s="34"/>
      <c r="E12" s="34"/>
      <c r="F12" s="34"/>
      <c r="G12" s="34"/>
      <c r="H12" s="34"/>
    </row>
    <row r="13" spans="1:8">
      <c r="A13" s="34"/>
      <c r="B13" s="34"/>
      <c r="C13" s="34"/>
      <c r="D13" s="34"/>
      <c r="E13" s="34"/>
      <c r="F13" s="34"/>
      <c r="G13" s="34"/>
      <c r="H13" s="34"/>
    </row>
    <row r="14" spans="1:8">
      <c r="A14" s="34"/>
      <c r="B14" s="34"/>
      <c r="C14" s="34"/>
      <c r="D14" s="34"/>
      <c r="E14" s="34"/>
      <c r="F14" s="34"/>
      <c r="G14" s="34"/>
      <c r="H14" s="34"/>
    </row>
    <row r="15" spans="1:8">
      <c r="A15" s="34"/>
      <c r="B15" s="34"/>
      <c r="C15" s="34"/>
      <c r="D15" s="34"/>
      <c r="E15" s="34"/>
      <c r="F15" s="34"/>
      <c r="G15" s="34"/>
      <c r="H15" s="34"/>
    </row>
    <row r="16" spans="1:8">
      <c r="A16" s="34"/>
      <c r="B16" s="34"/>
      <c r="C16" s="34"/>
      <c r="D16" s="34"/>
      <c r="E16" s="34"/>
      <c r="F16" s="34"/>
      <c r="G16" s="34"/>
      <c r="H16" s="34"/>
    </row>
    <row r="17" spans="1:8">
      <c r="A17" s="34"/>
      <c r="B17" s="34"/>
      <c r="C17" s="34"/>
      <c r="D17" s="34"/>
      <c r="E17" s="34"/>
      <c r="F17" s="34"/>
      <c r="G17" s="34"/>
      <c r="H17" s="34"/>
    </row>
    <row r="18" spans="1:8">
      <c r="A18" s="34"/>
      <c r="B18" s="34"/>
      <c r="C18" s="34"/>
      <c r="D18" s="34"/>
      <c r="E18" s="34"/>
      <c r="F18" s="34"/>
      <c r="G18" s="34"/>
      <c r="H18" s="34"/>
    </row>
    <row r="19" spans="1:8" ht="15.75">
      <c r="A19" s="42" t="s">
        <v>27</v>
      </c>
      <c r="B19" s="34"/>
      <c r="C19" s="34"/>
      <c r="D19" s="34"/>
      <c r="E19" s="42" t="s">
        <v>33</v>
      </c>
      <c r="F19" s="34"/>
      <c r="G19" s="34"/>
      <c r="H19" s="34"/>
    </row>
    <row r="20" spans="1:8">
      <c r="A20" s="34"/>
      <c r="B20" s="34"/>
      <c r="C20" s="34"/>
      <c r="D20" s="34"/>
      <c r="E20" s="34"/>
      <c r="F20" s="34"/>
      <c r="G20" s="34"/>
      <c r="H20" s="34"/>
    </row>
    <row r="21" spans="1:8">
      <c r="A21" s="34"/>
      <c r="B21" s="34"/>
      <c r="C21" s="34"/>
      <c r="D21" s="34"/>
      <c r="E21" s="34"/>
      <c r="F21" s="34"/>
      <c r="G21" s="34"/>
      <c r="H21" s="34"/>
    </row>
    <row r="22" spans="1:8">
      <c r="A22" s="34"/>
      <c r="B22" s="34"/>
      <c r="C22" s="34"/>
      <c r="D22" s="34"/>
      <c r="E22" s="34"/>
      <c r="F22" s="34"/>
      <c r="G22" s="34"/>
      <c r="H22" s="34"/>
    </row>
    <row r="23" spans="1:8">
      <c r="A23" s="34"/>
      <c r="B23" s="34"/>
      <c r="C23" s="34"/>
      <c r="D23" s="34"/>
      <c r="E23" s="34"/>
      <c r="F23" s="34"/>
      <c r="G23" s="34"/>
      <c r="H23" s="34"/>
    </row>
    <row r="24" spans="1:8">
      <c r="A24" s="34"/>
      <c r="B24" s="34"/>
      <c r="C24" s="34"/>
      <c r="D24" s="34"/>
      <c r="E24" s="34"/>
      <c r="F24" s="34"/>
      <c r="G24" s="34"/>
      <c r="H24" s="34"/>
    </row>
    <row r="25" spans="1:8">
      <c r="A25" s="34"/>
      <c r="B25" s="34"/>
      <c r="C25" s="34"/>
      <c r="D25" s="34"/>
      <c r="E25" s="34"/>
      <c r="F25" s="34"/>
      <c r="G25" s="34"/>
      <c r="H25" s="34"/>
    </row>
    <row r="26" spans="1:8">
      <c r="A26" s="34"/>
      <c r="B26" s="34"/>
      <c r="C26" s="34"/>
      <c r="D26" s="34"/>
      <c r="E26" s="34"/>
      <c r="F26" s="34"/>
      <c r="G26" s="34"/>
      <c r="H26" s="34"/>
    </row>
    <row r="27" spans="1:8">
      <c r="A27" s="34"/>
      <c r="B27" s="34"/>
      <c r="C27" s="34"/>
      <c r="D27" s="34"/>
      <c r="E27" s="34"/>
      <c r="F27" s="34"/>
      <c r="G27" s="34"/>
      <c r="H27" s="34"/>
    </row>
    <row r="28" spans="1:8">
      <c r="A28" s="34"/>
      <c r="B28" s="34"/>
      <c r="C28" s="34"/>
      <c r="D28" s="34"/>
      <c r="E28" s="34"/>
      <c r="F28" s="34"/>
      <c r="G28" s="34"/>
      <c r="H28" s="34"/>
    </row>
    <row r="29" spans="1:8">
      <c r="A29" s="34"/>
      <c r="B29" s="34"/>
      <c r="C29" s="34"/>
      <c r="D29" s="34"/>
      <c r="E29" s="34"/>
      <c r="F29" s="34"/>
      <c r="G29" s="34"/>
      <c r="H29" s="34"/>
    </row>
    <row r="30" spans="1:8">
      <c r="A30" s="34"/>
      <c r="B30" s="34"/>
      <c r="C30" s="34"/>
      <c r="D30" s="34"/>
      <c r="E30" s="34"/>
      <c r="F30" s="34"/>
      <c r="G30" s="34"/>
      <c r="H30" s="34"/>
    </row>
    <row r="31" spans="1:8">
      <c r="A31" s="34"/>
      <c r="B31" s="34"/>
      <c r="C31" s="34"/>
      <c r="D31" s="34"/>
      <c r="E31" s="34"/>
      <c r="F31" s="34"/>
      <c r="G31" s="34"/>
      <c r="H31" s="34"/>
    </row>
    <row r="32" spans="1:8">
      <c r="A32" s="34"/>
      <c r="B32" s="34"/>
      <c r="C32" s="34"/>
      <c r="D32" s="34"/>
      <c r="E32" s="34"/>
      <c r="F32" s="34"/>
      <c r="G32" s="34"/>
      <c r="H32" s="34"/>
    </row>
    <row r="33" spans="1:8">
      <c r="A33" s="34"/>
      <c r="B33" s="34"/>
      <c r="C33" s="34"/>
      <c r="D33" s="34"/>
      <c r="E33" s="34"/>
      <c r="F33" s="34"/>
      <c r="G33" s="34"/>
      <c r="H33" s="34"/>
    </row>
    <row r="34" spans="1:8" ht="15.75">
      <c r="A34" s="42" t="s">
        <v>29</v>
      </c>
      <c r="B34" s="34"/>
      <c r="C34" s="34"/>
      <c r="D34" s="34"/>
      <c r="E34" s="42" t="s">
        <v>23</v>
      </c>
      <c r="F34" s="34"/>
      <c r="G34" s="34"/>
      <c r="H34" s="34"/>
    </row>
    <row r="35" spans="1:8">
      <c r="A35" s="34"/>
      <c r="B35" s="34"/>
      <c r="C35" s="34"/>
      <c r="D35" s="34"/>
      <c r="E35" s="34"/>
      <c r="F35" s="34"/>
      <c r="G35" s="34"/>
      <c r="H35" s="34"/>
    </row>
    <row r="36" spans="1:8">
      <c r="A36" s="34"/>
      <c r="B36" s="34"/>
      <c r="C36" s="34"/>
      <c r="D36" s="34"/>
      <c r="E36" s="34"/>
      <c r="F36" s="34"/>
      <c r="G36" s="34"/>
      <c r="H36" s="34"/>
    </row>
    <row r="37" spans="1:8">
      <c r="A37" s="34"/>
      <c r="B37" s="34"/>
      <c r="C37" s="34"/>
      <c r="D37" s="34"/>
      <c r="E37" s="34"/>
      <c r="F37" s="34"/>
      <c r="G37" s="34"/>
      <c r="H37" s="34"/>
    </row>
    <row r="38" spans="1:8">
      <c r="A38" s="34"/>
      <c r="B38" s="34"/>
      <c r="C38" s="34"/>
      <c r="D38" s="34"/>
      <c r="E38" s="34"/>
      <c r="F38" s="34"/>
      <c r="G38" s="34"/>
      <c r="H38" s="34"/>
    </row>
    <row r="39" spans="1:8">
      <c r="A39" s="34"/>
      <c r="B39" s="34"/>
      <c r="C39" s="34"/>
      <c r="D39" s="34"/>
      <c r="E39" s="34"/>
      <c r="F39" s="34"/>
      <c r="G39" s="34"/>
      <c r="H39" s="34"/>
    </row>
    <row r="40" spans="1:8">
      <c r="A40" s="34"/>
      <c r="B40" s="34"/>
      <c r="C40" s="34"/>
      <c r="D40" s="34"/>
      <c r="E40" s="34"/>
      <c r="F40" s="34"/>
      <c r="G40" s="34"/>
      <c r="H40" s="34"/>
    </row>
    <row r="41" spans="1:8">
      <c r="A41" s="34"/>
      <c r="B41" s="34"/>
      <c r="C41" s="34"/>
      <c r="D41" s="34"/>
      <c r="E41" s="34"/>
      <c r="F41" s="34"/>
      <c r="G41" s="34"/>
      <c r="H41" s="34"/>
    </row>
    <row r="42" spans="1:8">
      <c r="A42" s="34"/>
      <c r="B42" s="34"/>
      <c r="C42" s="34"/>
      <c r="D42" s="34"/>
      <c r="E42" s="34"/>
      <c r="F42" s="34"/>
      <c r="G42" s="34"/>
      <c r="H42" s="34"/>
    </row>
    <row r="43" spans="1:8">
      <c r="A43" s="34"/>
      <c r="B43" s="34"/>
      <c r="C43" s="34"/>
      <c r="D43" s="34"/>
      <c r="E43" s="34"/>
      <c r="F43" s="34"/>
      <c r="G43" s="34"/>
      <c r="H43" s="34"/>
    </row>
    <row r="44" spans="1:8">
      <c r="A44" s="34"/>
      <c r="B44" s="34"/>
      <c r="C44" s="34"/>
      <c r="D44" s="34"/>
      <c r="E44" s="34"/>
      <c r="F44" s="34"/>
      <c r="G44" s="34"/>
      <c r="H44" s="34"/>
    </row>
    <row r="45" spans="1:8">
      <c r="A45" s="34"/>
      <c r="B45" s="34"/>
      <c r="C45" s="34"/>
      <c r="D45" s="34"/>
      <c r="E45" s="34"/>
      <c r="F45" s="34"/>
      <c r="G45" s="34"/>
      <c r="H45" s="34"/>
    </row>
    <row r="46" spans="1:8">
      <c r="A46" s="34"/>
      <c r="B46" s="34"/>
      <c r="C46" s="34"/>
      <c r="D46" s="34"/>
      <c r="E46" s="34"/>
      <c r="F46" s="34"/>
      <c r="G46" s="34"/>
      <c r="H46" s="34"/>
    </row>
    <row r="47" spans="1:8">
      <c r="A47" s="34"/>
      <c r="B47" s="34"/>
      <c r="C47" s="34"/>
      <c r="D47" s="34"/>
      <c r="E47" s="34"/>
      <c r="F47" s="34"/>
      <c r="G47" s="34"/>
      <c r="H47" s="34"/>
    </row>
    <row r="48" spans="1:8">
      <c r="A48" s="34"/>
      <c r="B48" s="34"/>
      <c r="C48" s="34"/>
      <c r="D48" s="34"/>
      <c r="E48" s="34"/>
      <c r="F48" s="34"/>
      <c r="G48" s="34"/>
      <c r="H48" s="34"/>
    </row>
    <row r="49" spans="1:8" ht="15.75">
      <c r="A49" s="42" t="s">
        <v>37</v>
      </c>
      <c r="B49" s="34"/>
      <c r="C49" s="34"/>
      <c r="D49" s="34"/>
      <c r="E49" s="42" t="s">
        <v>61</v>
      </c>
      <c r="F49" s="34"/>
      <c r="G49" s="34"/>
      <c r="H49" s="34"/>
    </row>
    <row r="50" spans="1:8">
      <c r="A50" s="34"/>
      <c r="B50" s="34"/>
      <c r="C50" s="34"/>
      <c r="D50" s="34"/>
      <c r="E50" s="34"/>
      <c r="F50" s="34"/>
      <c r="G50" s="34"/>
      <c r="H50" s="34"/>
    </row>
    <row r="51" spans="1:8">
      <c r="A51" s="34"/>
      <c r="B51" s="34"/>
      <c r="C51" s="34"/>
      <c r="D51" s="34"/>
      <c r="E51" s="34"/>
      <c r="F51" s="34"/>
      <c r="G51" s="34"/>
      <c r="H51" s="34"/>
    </row>
    <row r="52" spans="1:8">
      <c r="A52" s="34"/>
      <c r="B52" s="34"/>
      <c r="C52" s="34"/>
      <c r="D52" s="34"/>
      <c r="E52" s="34"/>
      <c r="F52" s="34"/>
      <c r="G52" s="34"/>
      <c r="H52" s="34"/>
    </row>
    <row r="53" spans="1:8">
      <c r="A53" s="34"/>
      <c r="B53" s="34"/>
      <c r="C53" s="34"/>
      <c r="D53" s="34"/>
      <c r="E53" s="34"/>
      <c r="F53" s="34"/>
      <c r="G53" s="34"/>
      <c r="H53" s="34"/>
    </row>
    <row r="54" spans="1:8">
      <c r="A54" s="34"/>
      <c r="B54" s="34"/>
      <c r="C54" s="34"/>
      <c r="D54" s="34"/>
      <c r="E54" s="34"/>
      <c r="F54" s="34"/>
      <c r="G54" s="34"/>
      <c r="H54" s="34"/>
    </row>
    <row r="55" spans="1:8">
      <c r="A55" s="34"/>
      <c r="B55" s="34"/>
      <c r="C55" s="34"/>
      <c r="D55" s="34"/>
      <c r="E55" s="34"/>
      <c r="F55" s="34"/>
      <c r="G55" s="34"/>
      <c r="H55" s="34"/>
    </row>
    <row r="56" spans="1:8">
      <c r="A56" s="34"/>
      <c r="B56" s="34"/>
      <c r="C56" s="34"/>
      <c r="D56" s="34"/>
      <c r="E56" s="34"/>
      <c r="F56" s="34"/>
      <c r="G56" s="34"/>
      <c r="H56" s="34"/>
    </row>
    <row r="57" spans="1:8">
      <c r="A57" s="34"/>
      <c r="B57" s="34"/>
      <c r="C57" s="34"/>
      <c r="D57" s="34"/>
      <c r="E57" s="34"/>
      <c r="F57" s="34"/>
      <c r="G57" s="34"/>
      <c r="H57" s="34"/>
    </row>
    <row r="58" spans="1:8">
      <c r="A58" s="34"/>
      <c r="B58" s="34"/>
      <c r="C58" s="34"/>
      <c r="D58" s="34"/>
      <c r="E58" s="34"/>
      <c r="F58" s="34"/>
      <c r="G58" s="34"/>
      <c r="H58" s="34"/>
    </row>
    <row r="59" spans="1:8">
      <c r="A59" s="34"/>
      <c r="B59" s="34"/>
      <c r="C59" s="34"/>
      <c r="D59" s="34"/>
      <c r="E59" s="34"/>
      <c r="F59" s="34"/>
      <c r="G59" s="34"/>
      <c r="H59" s="34"/>
    </row>
    <row r="60" spans="1:8">
      <c r="A60" s="34"/>
      <c r="B60" s="34"/>
      <c r="C60" s="34"/>
      <c r="D60" s="34"/>
      <c r="E60" s="34"/>
      <c r="F60" s="34"/>
      <c r="G60" s="34"/>
      <c r="H60" s="34"/>
    </row>
    <row r="61" spans="1:8">
      <c r="A61" s="34"/>
      <c r="B61" s="34"/>
      <c r="C61" s="34"/>
      <c r="D61" s="34"/>
      <c r="E61" s="34"/>
      <c r="F61" s="34"/>
      <c r="G61" s="34"/>
      <c r="H61" s="34"/>
    </row>
    <row r="62" spans="1:8">
      <c r="A62" s="34"/>
      <c r="B62" s="34"/>
      <c r="C62" s="34"/>
      <c r="D62" s="34"/>
      <c r="E62" s="34"/>
      <c r="F62" s="34"/>
      <c r="G62" s="34"/>
      <c r="H62" s="34"/>
    </row>
    <row r="63" spans="1:8">
      <c r="A63" s="34"/>
      <c r="B63" s="34"/>
      <c r="C63" s="34"/>
      <c r="D63" s="34"/>
      <c r="E63" s="34"/>
      <c r="F63" s="34"/>
      <c r="G63" s="34"/>
      <c r="H63" s="34"/>
    </row>
    <row r="64" spans="1:8" ht="15.75">
      <c r="A64" s="42" t="s">
        <v>54</v>
      </c>
      <c r="B64" s="34"/>
      <c r="C64" s="34"/>
      <c r="D64" s="34"/>
    </row>
    <row r="65" spans="1:4">
      <c r="A65" s="34"/>
      <c r="B65" s="34"/>
      <c r="C65" s="34"/>
      <c r="D65" s="34"/>
    </row>
    <row r="66" spans="1:4">
      <c r="A66" s="34"/>
      <c r="B66" s="34"/>
      <c r="C66" s="34"/>
      <c r="D66" s="34"/>
    </row>
    <row r="67" spans="1:4">
      <c r="A67" s="34"/>
      <c r="B67" s="34"/>
      <c r="C67" s="34"/>
      <c r="D67" s="34"/>
    </row>
    <row r="68" spans="1:4">
      <c r="A68" s="34"/>
      <c r="B68" s="34"/>
      <c r="C68" s="34"/>
      <c r="D68" s="34"/>
    </row>
    <row r="69" spans="1:4">
      <c r="A69" s="34"/>
      <c r="B69" s="34"/>
      <c r="C69" s="34"/>
      <c r="D69" s="34"/>
    </row>
    <row r="70" spans="1:4">
      <c r="A70" s="34"/>
      <c r="B70" s="34"/>
      <c r="C70" s="34"/>
      <c r="D70" s="34"/>
    </row>
    <row r="71" spans="1:4">
      <c r="A71" s="34"/>
      <c r="B71" s="34"/>
      <c r="C71" s="34"/>
      <c r="D71" s="34"/>
    </row>
    <row r="72" spans="1:4">
      <c r="A72" s="34"/>
      <c r="B72" s="34"/>
      <c r="C72" s="34"/>
      <c r="D72" s="34"/>
    </row>
    <row r="73" spans="1:4">
      <c r="A73" s="34"/>
      <c r="B73" s="34"/>
      <c r="C73" s="34"/>
      <c r="D73" s="34"/>
    </row>
    <row r="74" spans="1:4">
      <c r="A74" s="34"/>
      <c r="B74" s="34"/>
      <c r="C74" s="34"/>
      <c r="D74" s="34"/>
    </row>
    <row r="75" spans="1:4">
      <c r="A75" s="34"/>
      <c r="B75" s="34"/>
      <c r="C75" s="34"/>
      <c r="D75" s="34"/>
    </row>
    <row r="76" spans="1:4">
      <c r="A76" s="34"/>
      <c r="B76" s="34"/>
      <c r="C76" s="34"/>
      <c r="D76" s="34"/>
    </row>
    <row r="77" spans="1:4">
      <c r="A77" s="34"/>
      <c r="B77" s="34"/>
      <c r="C77" s="34"/>
      <c r="D77" s="34"/>
    </row>
    <row r="78" spans="1:4">
      <c r="A78" s="34"/>
      <c r="B78" s="34"/>
      <c r="C78" s="34"/>
      <c r="D78" s="34"/>
    </row>
  </sheetData>
  <mergeCells count="29">
    <mergeCell ref="A64:D64"/>
    <mergeCell ref="A65:D76"/>
    <mergeCell ref="A77:D78"/>
    <mergeCell ref="A49:D49"/>
    <mergeCell ref="A50:D61"/>
    <mergeCell ref="A62:D63"/>
    <mergeCell ref="E49:H49"/>
    <mergeCell ref="E50:H61"/>
    <mergeCell ref="E62:H63"/>
    <mergeCell ref="A34:D34"/>
    <mergeCell ref="A35:D46"/>
    <mergeCell ref="A47:D48"/>
    <mergeCell ref="E34:H34"/>
    <mergeCell ref="E35:H46"/>
    <mergeCell ref="E47:H48"/>
    <mergeCell ref="A19:D19"/>
    <mergeCell ref="A20:D31"/>
    <mergeCell ref="A32:D33"/>
    <mergeCell ref="E19:H19"/>
    <mergeCell ref="E20:H31"/>
    <mergeCell ref="E32:H33"/>
    <mergeCell ref="A1:H1"/>
    <mergeCell ref="A2:H2"/>
    <mergeCell ref="A4:D4"/>
    <mergeCell ref="A5:D16"/>
    <mergeCell ref="A17:D18"/>
    <mergeCell ref="E4:H4"/>
    <mergeCell ref="E5:H16"/>
    <mergeCell ref="E17:H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/>
  </sheetViews>
  <sheetFormatPr defaultRowHeight="14.25"/>
  <cols>
    <col min="1" max="1" width="10" customWidth="1"/>
    <col min="2" max="2" width="8" customWidth="1"/>
    <col min="3" max="3" width="32" customWidth="1"/>
    <col min="4" max="4" width="12" customWidth="1"/>
    <col min="5" max="5" width="10" customWidth="1"/>
    <col min="6" max="6" width="8" customWidth="1"/>
    <col min="7" max="7" width="32" customWidth="1"/>
    <col min="8" max="8" width="12" customWidth="1"/>
  </cols>
  <sheetData>
    <row r="1" spans="1:8" ht="21.75">
      <c r="A1" s="43" t="s">
        <v>301</v>
      </c>
      <c r="B1" s="34"/>
      <c r="C1" s="34"/>
      <c r="D1" s="34"/>
      <c r="E1" s="34"/>
      <c r="F1" s="34"/>
      <c r="G1" s="34"/>
      <c r="H1" s="34"/>
    </row>
    <row r="3" spans="1:8" ht="15">
      <c r="A3" s="23" t="s">
        <v>4</v>
      </c>
      <c r="B3" s="23" t="s">
        <v>2</v>
      </c>
      <c r="C3" s="23" t="s">
        <v>3</v>
      </c>
      <c r="D3" s="23" t="s">
        <v>302</v>
      </c>
      <c r="E3" s="23" t="s">
        <v>4</v>
      </c>
      <c r="F3" s="23" t="s">
        <v>2</v>
      </c>
      <c r="G3" s="23" t="s">
        <v>3</v>
      </c>
      <c r="H3" s="23" t="s">
        <v>302</v>
      </c>
    </row>
    <row r="4" spans="1:8">
      <c r="A4" s="24">
        <v>2000</v>
      </c>
      <c r="B4" s="25">
        <v>22</v>
      </c>
      <c r="C4" s="26" t="s">
        <v>78</v>
      </c>
      <c r="D4" s="44" t="s">
        <v>303</v>
      </c>
      <c r="E4" s="45">
        <v>2016</v>
      </c>
      <c r="F4" s="25">
        <v>41</v>
      </c>
      <c r="G4" s="25" t="s">
        <v>139</v>
      </c>
      <c r="H4" s="27" t="s">
        <v>303</v>
      </c>
    </row>
    <row r="5" spans="1:8">
      <c r="A5" s="28">
        <v>2000</v>
      </c>
      <c r="B5" s="3">
        <v>59</v>
      </c>
      <c r="C5" s="2" t="s">
        <v>188</v>
      </c>
      <c r="D5" s="37" t="s">
        <v>304</v>
      </c>
      <c r="E5" s="38">
        <v>2016</v>
      </c>
      <c r="F5" s="3">
        <v>56</v>
      </c>
      <c r="G5" s="3" t="s">
        <v>181</v>
      </c>
      <c r="H5" s="11" t="s">
        <v>304</v>
      </c>
    </row>
    <row r="6" spans="1:8">
      <c r="A6" s="28">
        <v>2002</v>
      </c>
      <c r="B6" s="3">
        <v>45</v>
      </c>
      <c r="C6" s="2" t="s">
        <v>152</v>
      </c>
      <c r="D6" s="37" t="s">
        <v>303</v>
      </c>
      <c r="E6" s="38">
        <v>2016</v>
      </c>
      <c r="F6" s="3">
        <v>64</v>
      </c>
      <c r="G6" s="3" t="s">
        <v>201</v>
      </c>
      <c r="H6" s="11" t="s">
        <v>304</v>
      </c>
    </row>
    <row r="7" spans="1:8">
      <c r="A7" s="28">
        <v>2002</v>
      </c>
      <c r="B7" s="3">
        <v>63</v>
      </c>
      <c r="C7" s="2" t="s">
        <v>199</v>
      </c>
      <c r="D7" s="37" t="s">
        <v>304</v>
      </c>
      <c r="E7" s="38">
        <v>2016</v>
      </c>
      <c r="F7" s="3">
        <v>68</v>
      </c>
      <c r="G7" s="3" t="s">
        <v>211</v>
      </c>
      <c r="H7" s="11" t="s">
        <v>304</v>
      </c>
    </row>
    <row r="8" spans="1:8" ht="28.5">
      <c r="A8" s="28">
        <v>2003</v>
      </c>
      <c r="B8" s="3">
        <v>30</v>
      </c>
      <c r="C8" s="2" t="s">
        <v>105</v>
      </c>
      <c r="D8" s="37" t="s">
        <v>303</v>
      </c>
      <c r="E8" s="38">
        <v>2016</v>
      </c>
      <c r="F8" s="3">
        <v>73</v>
      </c>
      <c r="G8" s="3" t="s">
        <v>222</v>
      </c>
      <c r="H8" s="11" t="s">
        <v>304</v>
      </c>
    </row>
    <row r="9" spans="1:8">
      <c r="A9" s="28">
        <v>2004</v>
      </c>
      <c r="B9" s="3">
        <v>19</v>
      </c>
      <c r="C9" s="2" t="s">
        <v>71</v>
      </c>
      <c r="D9" s="37" t="s">
        <v>303</v>
      </c>
      <c r="E9" s="38">
        <v>2016</v>
      </c>
      <c r="F9" s="3">
        <v>74</v>
      </c>
      <c r="G9" s="3" t="s">
        <v>226</v>
      </c>
      <c r="H9" s="11" t="s">
        <v>304</v>
      </c>
    </row>
    <row r="10" spans="1:8">
      <c r="A10" s="28">
        <v>2004</v>
      </c>
      <c r="B10" s="3">
        <v>25</v>
      </c>
      <c r="C10" s="2" t="s">
        <v>89</v>
      </c>
      <c r="D10" s="37" t="s">
        <v>303</v>
      </c>
      <c r="E10" s="38">
        <v>2016</v>
      </c>
      <c r="F10" s="3">
        <v>88</v>
      </c>
      <c r="G10" s="3" t="s">
        <v>265</v>
      </c>
      <c r="H10" s="11" t="s">
        <v>304</v>
      </c>
    </row>
    <row r="11" spans="1:8">
      <c r="A11" s="28">
        <v>2004</v>
      </c>
      <c r="B11" s="3">
        <v>31</v>
      </c>
      <c r="C11" s="2" t="s">
        <v>109</v>
      </c>
      <c r="D11" s="37" t="s">
        <v>303</v>
      </c>
      <c r="E11" s="38">
        <v>2016</v>
      </c>
      <c r="F11" s="3">
        <v>93</v>
      </c>
      <c r="G11" s="3" t="s">
        <v>278</v>
      </c>
      <c r="H11" s="11" t="s">
        <v>304</v>
      </c>
    </row>
    <row r="12" spans="1:8">
      <c r="A12" s="28">
        <v>2004</v>
      </c>
      <c r="B12" s="3">
        <v>61</v>
      </c>
      <c r="C12" s="2" t="s">
        <v>193</v>
      </c>
      <c r="D12" s="37" t="s">
        <v>304</v>
      </c>
      <c r="E12" s="38">
        <v>2017</v>
      </c>
      <c r="F12" s="3">
        <v>27</v>
      </c>
      <c r="G12" s="3" t="s">
        <v>94</v>
      </c>
      <c r="H12" s="11" t="s">
        <v>303</v>
      </c>
    </row>
    <row r="13" spans="1:8">
      <c r="A13" s="28">
        <v>2005</v>
      </c>
      <c r="B13" s="3">
        <v>57</v>
      </c>
      <c r="C13" s="2" t="s">
        <v>183</v>
      </c>
      <c r="D13" s="37" t="s">
        <v>304</v>
      </c>
      <c r="E13" s="38">
        <v>2017</v>
      </c>
      <c r="F13" s="3">
        <v>42</v>
      </c>
      <c r="G13" s="3" t="s">
        <v>142</v>
      </c>
      <c r="H13" s="11" t="s">
        <v>303</v>
      </c>
    </row>
    <row r="14" spans="1:8">
      <c r="A14" s="28">
        <v>2006</v>
      </c>
      <c r="B14" s="3">
        <v>35</v>
      </c>
      <c r="C14" s="2" t="s">
        <v>124</v>
      </c>
      <c r="D14" s="37" t="s">
        <v>303</v>
      </c>
      <c r="E14" s="38">
        <v>2017</v>
      </c>
      <c r="F14" s="3">
        <v>47</v>
      </c>
      <c r="G14" s="3" t="s">
        <v>156</v>
      </c>
      <c r="H14" s="11" t="s">
        <v>303</v>
      </c>
    </row>
    <row r="15" spans="1:8">
      <c r="A15" s="28">
        <v>2007</v>
      </c>
      <c r="B15" s="3">
        <v>5</v>
      </c>
      <c r="C15" s="2" t="s">
        <v>29</v>
      </c>
      <c r="D15" s="37" t="s">
        <v>303</v>
      </c>
      <c r="E15" s="38">
        <v>2017</v>
      </c>
      <c r="F15" s="3">
        <v>58</v>
      </c>
      <c r="G15" s="3" t="s">
        <v>185</v>
      </c>
      <c r="H15" s="11" t="s">
        <v>304</v>
      </c>
    </row>
    <row r="16" spans="1:8">
      <c r="A16" s="28">
        <v>2007</v>
      </c>
      <c r="B16" s="3">
        <v>10</v>
      </c>
      <c r="C16" s="2" t="s">
        <v>45</v>
      </c>
      <c r="D16" s="37" t="s">
        <v>303</v>
      </c>
      <c r="E16" s="38">
        <v>2017</v>
      </c>
      <c r="F16" s="3">
        <v>75</v>
      </c>
      <c r="G16" s="3" t="s">
        <v>228</v>
      </c>
      <c r="H16" s="11" t="s">
        <v>304</v>
      </c>
    </row>
    <row r="17" spans="1:8">
      <c r="A17" s="28">
        <v>2007</v>
      </c>
      <c r="B17" s="3">
        <v>23</v>
      </c>
      <c r="C17" s="2" t="s">
        <v>81</v>
      </c>
      <c r="D17" s="37" t="s">
        <v>303</v>
      </c>
      <c r="E17" s="38">
        <v>2017</v>
      </c>
      <c r="F17" s="3">
        <v>76</v>
      </c>
      <c r="G17" s="3" t="s">
        <v>231</v>
      </c>
      <c r="H17" s="11" t="s">
        <v>304</v>
      </c>
    </row>
    <row r="18" spans="1:8">
      <c r="A18" s="28">
        <v>2007</v>
      </c>
      <c r="B18" s="3">
        <v>32</v>
      </c>
      <c r="C18" s="2" t="s">
        <v>113</v>
      </c>
      <c r="D18" s="37" t="s">
        <v>303</v>
      </c>
      <c r="E18" s="38">
        <v>2017</v>
      </c>
      <c r="F18" s="3">
        <v>81</v>
      </c>
      <c r="G18" s="3" t="s">
        <v>244</v>
      </c>
      <c r="H18" s="11" t="s">
        <v>304</v>
      </c>
    </row>
    <row r="19" spans="1:8">
      <c r="A19" s="28">
        <v>2007</v>
      </c>
      <c r="B19" s="3">
        <v>100</v>
      </c>
      <c r="C19" s="2" t="s">
        <v>299</v>
      </c>
      <c r="D19" s="37" t="s">
        <v>304</v>
      </c>
      <c r="E19" s="38">
        <v>2017</v>
      </c>
      <c r="F19" s="3">
        <v>90</v>
      </c>
      <c r="G19" s="3" t="s">
        <v>271</v>
      </c>
      <c r="H19" s="11" t="s">
        <v>304</v>
      </c>
    </row>
    <row r="20" spans="1:8">
      <c r="A20" s="28">
        <v>2008</v>
      </c>
      <c r="B20" s="3">
        <v>8</v>
      </c>
      <c r="C20" s="2" t="s">
        <v>41</v>
      </c>
      <c r="D20" s="37" t="s">
        <v>303</v>
      </c>
      <c r="E20" s="38">
        <v>2018</v>
      </c>
      <c r="F20" s="3">
        <v>1</v>
      </c>
      <c r="G20" s="3" t="s">
        <v>15</v>
      </c>
      <c r="H20" s="11" t="s">
        <v>303</v>
      </c>
    </row>
    <row r="21" spans="1:8">
      <c r="A21" s="28">
        <v>2008</v>
      </c>
      <c r="B21" s="3">
        <v>21</v>
      </c>
      <c r="C21" s="2" t="s">
        <v>76</v>
      </c>
      <c r="D21" s="37" t="s">
        <v>303</v>
      </c>
      <c r="E21" s="38">
        <v>2018</v>
      </c>
      <c r="F21" s="3">
        <v>6</v>
      </c>
      <c r="G21" s="3" t="s">
        <v>33</v>
      </c>
      <c r="H21" s="11" t="s">
        <v>303</v>
      </c>
    </row>
    <row r="22" spans="1:8">
      <c r="A22" s="28">
        <v>2009</v>
      </c>
      <c r="B22" s="3">
        <v>65</v>
      </c>
      <c r="C22" s="2" t="s">
        <v>204</v>
      </c>
      <c r="D22" s="37" t="s">
        <v>304</v>
      </c>
      <c r="E22" s="38">
        <v>2018</v>
      </c>
      <c r="F22" s="3">
        <v>91</v>
      </c>
      <c r="G22" s="3" t="s">
        <v>273</v>
      </c>
      <c r="H22" s="11" t="s">
        <v>304</v>
      </c>
    </row>
    <row r="23" spans="1:8">
      <c r="A23" s="28">
        <v>2009</v>
      </c>
      <c r="B23" s="3">
        <v>79</v>
      </c>
      <c r="C23" s="2" t="s">
        <v>238</v>
      </c>
      <c r="D23" s="37" t="s">
        <v>304</v>
      </c>
      <c r="E23" s="38">
        <v>2019</v>
      </c>
      <c r="F23" s="3">
        <v>29</v>
      </c>
      <c r="G23" s="3" t="s">
        <v>102</v>
      </c>
      <c r="H23" s="11" t="s">
        <v>303</v>
      </c>
    </row>
    <row r="24" spans="1:8">
      <c r="A24" s="28">
        <v>2010</v>
      </c>
      <c r="B24" s="3">
        <v>2</v>
      </c>
      <c r="C24" s="2" t="s">
        <v>19</v>
      </c>
      <c r="D24" s="37" t="s">
        <v>303</v>
      </c>
      <c r="E24" s="38">
        <v>2019</v>
      </c>
      <c r="F24" s="3">
        <v>39</v>
      </c>
      <c r="G24" s="3" t="s">
        <v>133</v>
      </c>
      <c r="H24" s="11" t="s">
        <v>303</v>
      </c>
    </row>
    <row r="25" spans="1:8">
      <c r="A25" s="28">
        <v>2010</v>
      </c>
      <c r="B25" s="3">
        <v>9</v>
      </c>
      <c r="C25" s="2" t="s">
        <v>43</v>
      </c>
      <c r="D25" s="37" t="s">
        <v>303</v>
      </c>
      <c r="E25" s="38">
        <v>2019</v>
      </c>
      <c r="F25" s="3">
        <v>40</v>
      </c>
      <c r="G25" s="3" t="s">
        <v>137</v>
      </c>
      <c r="H25" s="11" t="s">
        <v>303</v>
      </c>
    </row>
    <row r="26" spans="1:8">
      <c r="A26" s="28">
        <v>2010</v>
      </c>
      <c r="B26" s="3">
        <v>36</v>
      </c>
      <c r="C26" s="2" t="s">
        <v>126</v>
      </c>
      <c r="D26" s="37" t="s">
        <v>303</v>
      </c>
      <c r="E26" s="38">
        <v>2019</v>
      </c>
      <c r="F26" s="3">
        <v>43</v>
      </c>
      <c r="G26" s="3" t="s">
        <v>145</v>
      </c>
      <c r="H26" s="11" t="s">
        <v>303</v>
      </c>
    </row>
    <row r="27" spans="1:8">
      <c r="A27" s="28">
        <v>2010</v>
      </c>
      <c r="B27" s="3">
        <v>62</v>
      </c>
      <c r="C27" s="2" t="s">
        <v>196</v>
      </c>
      <c r="D27" s="37" t="s">
        <v>304</v>
      </c>
      <c r="E27" s="38">
        <v>2019</v>
      </c>
      <c r="F27" s="3">
        <v>46</v>
      </c>
      <c r="G27" s="3" t="s">
        <v>154</v>
      </c>
      <c r="H27" s="11" t="s">
        <v>303</v>
      </c>
    </row>
    <row r="28" spans="1:8">
      <c r="A28" s="29">
        <v>2010</v>
      </c>
      <c r="B28" s="30">
        <v>66</v>
      </c>
      <c r="C28" s="31" t="s">
        <v>206</v>
      </c>
      <c r="D28" s="46" t="s">
        <v>304</v>
      </c>
      <c r="E28" s="47">
        <v>2019</v>
      </c>
      <c r="F28" s="30">
        <v>52</v>
      </c>
      <c r="G28" s="30" t="s">
        <v>170</v>
      </c>
      <c r="H28" s="32" t="s">
        <v>304</v>
      </c>
    </row>
    <row r="29" spans="1:8">
      <c r="A29" s="3">
        <v>2011</v>
      </c>
      <c r="B29" s="3">
        <v>11</v>
      </c>
      <c r="C29" s="2" t="s">
        <v>47</v>
      </c>
      <c r="D29" s="2" t="s">
        <v>303</v>
      </c>
      <c r="E29" s="3">
        <v>2019</v>
      </c>
      <c r="F29" s="3">
        <v>87</v>
      </c>
      <c r="G29" s="2" t="s">
        <v>262</v>
      </c>
      <c r="H29" s="2" t="s">
        <v>304</v>
      </c>
    </row>
    <row r="30" spans="1:8">
      <c r="A30" s="3">
        <v>2011</v>
      </c>
      <c r="B30" s="3">
        <v>14</v>
      </c>
      <c r="C30" s="2" t="s">
        <v>58</v>
      </c>
      <c r="D30" s="2" t="s">
        <v>303</v>
      </c>
      <c r="E30" s="3">
        <v>2019</v>
      </c>
      <c r="F30" s="3">
        <v>89</v>
      </c>
      <c r="G30" s="2" t="s">
        <v>269</v>
      </c>
      <c r="H30" s="2" t="s">
        <v>304</v>
      </c>
    </row>
    <row r="31" spans="1:8">
      <c r="A31" s="3">
        <v>2011</v>
      </c>
      <c r="B31" s="3">
        <v>24</v>
      </c>
      <c r="C31" s="2" t="s">
        <v>85</v>
      </c>
      <c r="D31" s="2" t="s">
        <v>303</v>
      </c>
      <c r="E31" s="3">
        <v>2020</v>
      </c>
      <c r="F31" s="3">
        <v>18</v>
      </c>
      <c r="G31" s="2" t="s">
        <v>69</v>
      </c>
      <c r="H31" s="2" t="s">
        <v>303</v>
      </c>
    </row>
    <row r="32" spans="1:8">
      <c r="A32" s="3">
        <v>2011</v>
      </c>
      <c r="B32" s="3">
        <v>69</v>
      </c>
      <c r="C32" s="2" t="s">
        <v>213</v>
      </c>
      <c r="D32" s="2" t="s">
        <v>304</v>
      </c>
      <c r="E32" s="3">
        <v>2020</v>
      </c>
      <c r="F32" s="3">
        <v>26</v>
      </c>
      <c r="G32" s="2" t="s">
        <v>92</v>
      </c>
      <c r="H32" s="2" t="s">
        <v>303</v>
      </c>
    </row>
    <row r="33" spans="1:8">
      <c r="A33" s="3">
        <v>2011</v>
      </c>
      <c r="B33" s="3">
        <v>99</v>
      </c>
      <c r="C33" s="2" t="s">
        <v>295</v>
      </c>
      <c r="D33" s="2" t="s">
        <v>304</v>
      </c>
      <c r="E33" s="3">
        <v>2020</v>
      </c>
      <c r="F33" s="3">
        <v>49</v>
      </c>
      <c r="G33" s="2" t="s">
        <v>161</v>
      </c>
      <c r="H33" s="2" t="s">
        <v>303</v>
      </c>
    </row>
    <row r="34" spans="1:8">
      <c r="A34" s="3">
        <v>2012</v>
      </c>
      <c r="B34" s="3">
        <v>20</v>
      </c>
      <c r="C34" s="2" t="s">
        <v>74</v>
      </c>
      <c r="D34" s="2" t="s">
        <v>303</v>
      </c>
      <c r="E34" s="3">
        <v>2020</v>
      </c>
      <c r="F34" s="3">
        <v>50</v>
      </c>
      <c r="G34" s="2" t="s">
        <v>164</v>
      </c>
      <c r="H34" s="2" t="s">
        <v>303</v>
      </c>
    </row>
    <row r="35" spans="1:8">
      <c r="A35" s="3">
        <v>2012</v>
      </c>
      <c r="B35" s="3">
        <v>34</v>
      </c>
      <c r="C35" s="2" t="s">
        <v>120</v>
      </c>
      <c r="D35" s="2" t="s">
        <v>303</v>
      </c>
      <c r="E35" s="3">
        <v>2020</v>
      </c>
      <c r="F35" s="3">
        <v>54</v>
      </c>
      <c r="G35" s="2" t="s">
        <v>176</v>
      </c>
      <c r="H35" s="2" t="s">
        <v>304</v>
      </c>
    </row>
    <row r="36" spans="1:8">
      <c r="A36" s="3">
        <v>2012</v>
      </c>
      <c r="B36" s="3">
        <v>67</v>
      </c>
      <c r="C36" s="2" t="s">
        <v>209</v>
      </c>
      <c r="D36" s="2" t="s">
        <v>304</v>
      </c>
      <c r="E36" s="3">
        <v>2020</v>
      </c>
      <c r="F36" s="3">
        <v>77</v>
      </c>
      <c r="G36" s="2" t="s">
        <v>234</v>
      </c>
      <c r="H36" s="2" t="s">
        <v>304</v>
      </c>
    </row>
    <row r="37" spans="1:8">
      <c r="A37" s="3">
        <v>2012</v>
      </c>
      <c r="B37" s="3">
        <v>94</v>
      </c>
      <c r="C37" s="2" t="s">
        <v>280</v>
      </c>
      <c r="D37" s="2" t="s">
        <v>304</v>
      </c>
      <c r="E37" s="3">
        <v>2020</v>
      </c>
      <c r="F37" s="3">
        <v>92</v>
      </c>
      <c r="G37" s="2" t="s">
        <v>276</v>
      </c>
      <c r="H37" s="2" t="s">
        <v>304</v>
      </c>
    </row>
    <row r="38" spans="1:8">
      <c r="A38" s="3">
        <v>2012</v>
      </c>
      <c r="B38" s="3">
        <v>96</v>
      </c>
      <c r="C38" s="2" t="s">
        <v>286</v>
      </c>
      <c r="D38" s="2" t="s">
        <v>304</v>
      </c>
      <c r="E38" s="3">
        <v>2021</v>
      </c>
      <c r="F38" s="3">
        <v>78</v>
      </c>
      <c r="G38" s="2" t="s">
        <v>236</v>
      </c>
      <c r="H38" s="2" t="s">
        <v>304</v>
      </c>
    </row>
    <row r="39" spans="1:8">
      <c r="A39" s="3">
        <v>2013</v>
      </c>
      <c r="B39" s="3">
        <v>4</v>
      </c>
      <c r="C39" s="2" t="s">
        <v>27</v>
      </c>
      <c r="D39" s="2" t="s">
        <v>303</v>
      </c>
      <c r="E39" s="3">
        <v>2021</v>
      </c>
      <c r="F39" s="3">
        <v>84</v>
      </c>
      <c r="G39" s="2" t="s">
        <v>252</v>
      </c>
      <c r="H39" s="2" t="s">
        <v>304</v>
      </c>
    </row>
    <row r="40" spans="1:8">
      <c r="A40" s="3">
        <v>2013</v>
      </c>
      <c r="B40" s="3">
        <v>7</v>
      </c>
      <c r="C40" s="2" t="s">
        <v>37</v>
      </c>
      <c r="D40" s="2" t="s">
        <v>303</v>
      </c>
      <c r="E40" s="3">
        <v>2021</v>
      </c>
      <c r="F40" s="3">
        <v>85</v>
      </c>
      <c r="G40" s="2" t="s">
        <v>255</v>
      </c>
      <c r="H40" s="2" t="s">
        <v>304</v>
      </c>
    </row>
    <row r="41" spans="1:8">
      <c r="A41" s="3">
        <v>2013</v>
      </c>
      <c r="B41" s="3">
        <v>33</v>
      </c>
      <c r="C41" s="2" t="s">
        <v>116</v>
      </c>
      <c r="D41" s="2" t="s">
        <v>303</v>
      </c>
      <c r="E41" s="3">
        <v>2021</v>
      </c>
      <c r="F41" s="3">
        <v>86</v>
      </c>
      <c r="G41" s="2" t="s">
        <v>259</v>
      </c>
      <c r="H41" s="2" t="s">
        <v>304</v>
      </c>
    </row>
    <row r="42" spans="1:8">
      <c r="A42" s="3">
        <v>2013</v>
      </c>
      <c r="B42" s="3">
        <v>70</v>
      </c>
      <c r="C42" s="2" t="s">
        <v>215</v>
      </c>
      <c r="D42" s="2" t="s">
        <v>304</v>
      </c>
      <c r="E42" s="3">
        <v>2022</v>
      </c>
      <c r="F42" s="3">
        <v>15</v>
      </c>
      <c r="G42" s="2" t="s">
        <v>61</v>
      </c>
      <c r="H42" s="2" t="s">
        <v>303</v>
      </c>
    </row>
    <row r="43" spans="1:8">
      <c r="A43" s="3">
        <v>2013</v>
      </c>
      <c r="B43" s="3">
        <v>97</v>
      </c>
      <c r="C43" s="2" t="s">
        <v>290</v>
      </c>
      <c r="D43" s="2" t="s">
        <v>304</v>
      </c>
      <c r="E43" s="3">
        <v>2022</v>
      </c>
      <c r="F43" s="3">
        <v>17</v>
      </c>
      <c r="G43" s="2" t="s">
        <v>67</v>
      </c>
      <c r="H43" s="2" t="s">
        <v>303</v>
      </c>
    </row>
    <row r="44" spans="1:8">
      <c r="A44" s="3">
        <v>2014</v>
      </c>
      <c r="B44" s="3">
        <v>37</v>
      </c>
      <c r="C44" s="2" t="s">
        <v>128</v>
      </c>
      <c r="D44" s="2" t="s">
        <v>303</v>
      </c>
      <c r="E44" s="3">
        <v>2022</v>
      </c>
      <c r="F44" s="3">
        <v>48</v>
      </c>
      <c r="G44" s="2" t="s">
        <v>159</v>
      </c>
      <c r="H44" s="2" t="s">
        <v>303</v>
      </c>
    </row>
    <row r="45" spans="1:8">
      <c r="A45" s="3">
        <v>2014</v>
      </c>
      <c r="B45" s="3">
        <v>38</v>
      </c>
      <c r="C45" s="2" t="s">
        <v>131</v>
      </c>
      <c r="D45" s="2" t="s">
        <v>303</v>
      </c>
      <c r="E45" s="3">
        <v>2023</v>
      </c>
      <c r="F45" s="3">
        <v>12</v>
      </c>
      <c r="G45" s="2" t="s">
        <v>50</v>
      </c>
      <c r="H45" s="2" t="s">
        <v>303</v>
      </c>
    </row>
    <row r="46" spans="1:8">
      <c r="A46" s="3">
        <v>2014</v>
      </c>
      <c r="B46" s="3">
        <v>72</v>
      </c>
      <c r="C46" s="2" t="s">
        <v>221</v>
      </c>
      <c r="D46" s="2" t="s">
        <v>304</v>
      </c>
      <c r="E46" s="3">
        <v>2023</v>
      </c>
      <c r="F46" s="3">
        <v>28</v>
      </c>
      <c r="G46" s="2" t="s">
        <v>98</v>
      </c>
      <c r="H46" s="2" t="s">
        <v>303</v>
      </c>
    </row>
    <row r="47" spans="1:8">
      <c r="A47" s="3">
        <v>2014</v>
      </c>
      <c r="B47" s="3">
        <v>80</v>
      </c>
      <c r="C47" s="2" t="s">
        <v>241</v>
      </c>
      <c r="D47" s="2" t="s">
        <v>304</v>
      </c>
      <c r="E47" s="3">
        <v>2023</v>
      </c>
      <c r="F47" s="3">
        <v>51</v>
      </c>
      <c r="G47" s="2" t="s">
        <v>168</v>
      </c>
      <c r="H47" s="2" t="s">
        <v>304</v>
      </c>
    </row>
    <row r="48" spans="1:8">
      <c r="A48" s="3">
        <v>2015</v>
      </c>
      <c r="B48" s="3">
        <v>3</v>
      </c>
      <c r="C48" s="2" t="s">
        <v>23</v>
      </c>
      <c r="D48" s="2" t="s">
        <v>303</v>
      </c>
      <c r="E48" s="3">
        <v>2023</v>
      </c>
      <c r="F48" s="3">
        <v>55</v>
      </c>
      <c r="G48" s="2" t="s">
        <v>179</v>
      </c>
      <c r="H48" s="2" t="s">
        <v>304</v>
      </c>
    </row>
    <row r="49" spans="1:8">
      <c r="A49" s="3">
        <v>2015</v>
      </c>
      <c r="B49" s="3">
        <v>44</v>
      </c>
      <c r="C49" s="2" t="s">
        <v>149</v>
      </c>
      <c r="D49" s="2" t="s">
        <v>303</v>
      </c>
      <c r="E49" s="3">
        <v>2023</v>
      </c>
      <c r="F49" s="3">
        <v>60</v>
      </c>
      <c r="G49" s="2" t="s">
        <v>191</v>
      </c>
      <c r="H49" s="2" t="s">
        <v>304</v>
      </c>
    </row>
    <row r="50" spans="1:8" ht="28.5">
      <c r="A50" s="3">
        <v>2015</v>
      </c>
      <c r="B50" s="3">
        <v>71</v>
      </c>
      <c r="C50" s="2" t="s">
        <v>217</v>
      </c>
      <c r="D50" s="2" t="s">
        <v>304</v>
      </c>
      <c r="E50" s="3">
        <v>2023</v>
      </c>
      <c r="F50" s="3">
        <v>82</v>
      </c>
      <c r="G50" s="2" t="s">
        <v>246</v>
      </c>
      <c r="H50" s="2" t="s">
        <v>304</v>
      </c>
    </row>
    <row r="51" spans="1:8">
      <c r="A51" s="3">
        <v>2015</v>
      </c>
      <c r="B51" s="3">
        <v>95</v>
      </c>
      <c r="C51" s="2" t="s">
        <v>283</v>
      </c>
      <c r="D51" s="2" t="s">
        <v>304</v>
      </c>
      <c r="E51" s="3">
        <v>2023</v>
      </c>
      <c r="F51" s="3">
        <v>83</v>
      </c>
      <c r="G51" s="2" t="s">
        <v>249</v>
      </c>
      <c r="H51" s="2" t="s">
        <v>304</v>
      </c>
    </row>
    <row r="52" spans="1:8">
      <c r="A52" s="3">
        <v>2015</v>
      </c>
      <c r="B52" s="3">
        <v>98</v>
      </c>
      <c r="C52" s="2" t="s">
        <v>293</v>
      </c>
      <c r="D52" s="2" t="s">
        <v>304</v>
      </c>
      <c r="E52" s="3">
        <v>2025</v>
      </c>
      <c r="F52" s="3">
        <v>13</v>
      </c>
      <c r="G52" s="2" t="s">
        <v>54</v>
      </c>
      <c r="H52" s="2" t="s">
        <v>303</v>
      </c>
    </row>
    <row r="53" spans="1:8">
      <c r="A53" s="3">
        <v>2016</v>
      </c>
      <c r="B53" s="3">
        <v>16</v>
      </c>
      <c r="C53" s="2" t="s">
        <v>65</v>
      </c>
      <c r="D53" s="2" t="s">
        <v>303</v>
      </c>
      <c r="E53" s="3">
        <v>2025</v>
      </c>
      <c r="F53" s="3">
        <v>53</v>
      </c>
      <c r="G53" s="2" t="s">
        <v>174</v>
      </c>
      <c r="H53" s="2" t="s">
        <v>304</v>
      </c>
    </row>
  </sheetData>
  <mergeCells count="2">
    <mergeCell ref="A1:H1"/>
    <mergeCell ref="D4:E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RowHeight="14.25"/>
  <cols>
    <col min="1" max="1" width="24" customWidth="1"/>
    <col min="2" max="2" width="100" customWidth="1"/>
    <col min="4" max="4" width="8" customWidth="1"/>
    <col min="5" max="5" width="36" customWidth="1"/>
    <col min="6" max="6" width="8" customWidth="1"/>
  </cols>
  <sheetData>
    <row r="1" spans="1:6">
      <c r="A1" s="34"/>
      <c r="B1" s="34"/>
      <c r="C1" s="34"/>
      <c r="D1" s="34"/>
      <c r="E1" s="34"/>
      <c r="F1" s="34"/>
    </row>
    <row r="3" spans="1:6" ht="28.5">
      <c r="A3" s="22" t="s">
        <v>305</v>
      </c>
      <c r="B3" s="12" t="s">
        <v>306</v>
      </c>
      <c r="D3" s="1" t="s">
        <v>2</v>
      </c>
      <c r="E3" s="1" t="s">
        <v>3</v>
      </c>
      <c r="F3" s="1" t="s">
        <v>4</v>
      </c>
    </row>
    <row r="4" spans="1:6" ht="15">
      <c r="A4" s="22" t="s">
        <v>307</v>
      </c>
      <c r="B4" s="12" t="s">
        <v>308</v>
      </c>
      <c r="D4">
        <v>1</v>
      </c>
      <c r="E4" t="s">
        <v>15</v>
      </c>
      <c r="F4">
        <v>2018</v>
      </c>
    </row>
    <row r="5" spans="1:6" ht="28.5">
      <c r="A5" s="22" t="s">
        <v>309</v>
      </c>
      <c r="B5" s="12" t="s">
        <v>310</v>
      </c>
      <c r="D5">
        <v>2</v>
      </c>
      <c r="E5" t="s">
        <v>19</v>
      </c>
      <c r="F5">
        <v>2010</v>
      </c>
    </row>
    <row r="6" spans="1:6" ht="15">
      <c r="A6" s="22" t="s">
        <v>311</v>
      </c>
      <c r="B6" s="12" t="s">
        <v>312</v>
      </c>
      <c r="D6">
        <v>3</v>
      </c>
      <c r="E6" t="s">
        <v>23</v>
      </c>
      <c r="F6">
        <v>2015</v>
      </c>
    </row>
    <row r="7" spans="1:6" ht="15">
      <c r="A7" s="22" t="s">
        <v>313</v>
      </c>
      <c r="B7" s="12" t="s">
        <v>314</v>
      </c>
      <c r="D7">
        <v>4</v>
      </c>
      <c r="E7" t="s">
        <v>27</v>
      </c>
      <c r="F7">
        <v>2013</v>
      </c>
    </row>
    <row r="8" spans="1:6" ht="28.5">
      <c r="A8" s="22" t="s">
        <v>315</v>
      </c>
      <c r="B8" s="12" t="s">
        <v>316</v>
      </c>
      <c r="D8">
        <v>5</v>
      </c>
      <c r="E8" t="s">
        <v>29</v>
      </c>
      <c r="F8">
        <v>2007</v>
      </c>
    </row>
    <row r="9" spans="1:6" ht="15">
      <c r="A9" s="22" t="s">
        <v>12</v>
      </c>
      <c r="B9" s="12" t="s">
        <v>317</v>
      </c>
      <c r="D9">
        <v>6</v>
      </c>
      <c r="E9" t="s">
        <v>33</v>
      </c>
      <c r="F9">
        <v>2018</v>
      </c>
    </row>
    <row r="10" spans="1:6" ht="28.5">
      <c r="A10" s="22" t="s">
        <v>13</v>
      </c>
      <c r="B10" s="12" t="s">
        <v>318</v>
      </c>
      <c r="D10">
        <v>7</v>
      </c>
      <c r="E10" t="s">
        <v>37</v>
      </c>
      <c r="F10">
        <v>2013</v>
      </c>
    </row>
    <row r="11" spans="1:6" ht="15">
      <c r="A11" s="22" t="s">
        <v>319</v>
      </c>
      <c r="B11" s="2" t="s">
        <v>320</v>
      </c>
      <c r="D11">
        <v>8</v>
      </c>
      <c r="E11" t="s">
        <v>41</v>
      </c>
      <c r="F11">
        <v>2008</v>
      </c>
    </row>
    <row r="12" spans="1:6">
      <c r="D12">
        <v>9</v>
      </c>
      <c r="E12" t="s">
        <v>43</v>
      </c>
      <c r="F12">
        <v>2010</v>
      </c>
    </row>
    <row r="13" spans="1:6">
      <c r="D13">
        <v>10</v>
      </c>
      <c r="E13" t="s">
        <v>45</v>
      </c>
      <c r="F13">
        <v>2007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1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7" customWidth="1"/>
    <col min="2" max="2" width="38" customWidth="1"/>
    <col min="3" max="3" width="15" customWidth="1"/>
    <col min="4" max="4" width="17" customWidth="1"/>
    <col min="5" max="5" width="10" customWidth="1"/>
    <col min="6" max="6" width="13" customWidth="1"/>
    <col min="7" max="7" width="15" customWidth="1"/>
    <col min="8" max="8" width="19" customWidth="1"/>
    <col min="9" max="9" width="21" customWidth="1"/>
  </cols>
  <sheetData>
    <row r="1" spans="1:9" ht="30">
      <c r="A1" s="14" t="s">
        <v>2</v>
      </c>
      <c r="B1" s="14" t="s">
        <v>3</v>
      </c>
      <c r="C1" s="14" t="s">
        <v>7</v>
      </c>
      <c r="D1" s="14" t="s">
        <v>8</v>
      </c>
      <c r="E1" s="14" t="s">
        <v>9</v>
      </c>
      <c r="F1" s="14" t="s">
        <v>10</v>
      </c>
      <c r="G1" s="14" t="s">
        <v>11</v>
      </c>
      <c r="H1" s="14" t="s">
        <v>12</v>
      </c>
      <c r="I1" s="14" t="s">
        <v>326</v>
      </c>
    </row>
    <row r="2" spans="1:9">
      <c r="A2">
        <f>'AAA Top 50'!A5</f>
        <v>1</v>
      </c>
      <c r="B2" t="str">
        <f>'AAA Top 50'!B5</f>
        <v>Red Dead Redemption 2</v>
      </c>
      <c r="C2">
        <f>'AAA Top 50'!F5</f>
        <v>97</v>
      </c>
      <c r="D2">
        <f>'AAA Top 50'!G5</f>
        <v>93</v>
      </c>
      <c r="E2">
        <f>'AAA Top 50'!H5</f>
        <v>10</v>
      </c>
      <c r="F2">
        <f>'AAA Top 50'!I5</f>
        <v>9</v>
      </c>
      <c r="G2">
        <f>'AAA Top 50'!J5</f>
        <v>0</v>
      </c>
      <c r="H2">
        <f>'AAA Top 50'!K5</f>
        <v>95</v>
      </c>
      <c r="I2">
        <f>'AAA Top 50'!L5</f>
        <v>10</v>
      </c>
    </row>
    <row r="3" spans="1:9">
      <c r="A3">
        <f>'AAA Top 50'!A6</f>
        <v>2</v>
      </c>
      <c r="B3" t="str">
        <f>'AAA Top 50'!B6</f>
        <v>Mass Effect 2</v>
      </c>
      <c r="C3">
        <f>'AAA Top 50'!F6</f>
        <v>96</v>
      </c>
      <c r="D3">
        <f>'AAA Top 50'!G6</f>
        <v>94</v>
      </c>
      <c r="E3">
        <f>'AAA Top 50'!H6</f>
        <v>9.6</v>
      </c>
      <c r="F3">
        <f>'AAA Top 50'!I6</f>
        <v>9</v>
      </c>
      <c r="G3">
        <f>'AAA Top 50'!J6</f>
        <v>90</v>
      </c>
      <c r="H3">
        <f>'AAA Top 50'!K6</f>
        <v>93.2</v>
      </c>
      <c r="I3">
        <f>'AAA Top 50'!L6</f>
        <v>9.9696969696969688</v>
      </c>
    </row>
    <row r="4" spans="1:9">
      <c r="A4">
        <f>'AAA Top 50'!A7</f>
        <v>3</v>
      </c>
      <c r="B4" t="str">
        <f>'AAA Top 50'!B7</f>
        <v>The Witcher 3: Wild Hunt</v>
      </c>
      <c r="C4">
        <f>'AAA Top 50'!F7</f>
        <v>92</v>
      </c>
      <c r="D4">
        <f>'AAA Top 50'!G7</f>
        <v>93</v>
      </c>
      <c r="E4">
        <f>'AAA Top 50'!H7</f>
        <v>9.3000000000000007</v>
      </c>
      <c r="F4">
        <f>'AAA Top 50'!I7</f>
        <v>9</v>
      </c>
      <c r="G4">
        <f>'AAA Top 50'!J7</f>
        <v>92</v>
      </c>
      <c r="H4">
        <f>'AAA Top 50'!K7</f>
        <v>92</v>
      </c>
      <c r="I4" t="str">
        <f>'AAA Top 50'!L7</f>
        <v>9.9 (AI – not played)</v>
      </c>
    </row>
    <row r="5" spans="1:9">
      <c r="A5">
        <f>'AAA Top 50'!A8</f>
        <v>4</v>
      </c>
      <c r="B5" t="str">
        <f>'AAA Top 50'!B8</f>
        <v>God of War</v>
      </c>
      <c r="C5">
        <f>'AAA Top 50'!F8</f>
        <v>94</v>
      </c>
      <c r="D5">
        <f>'AAA Top 50'!G8</f>
        <v>90</v>
      </c>
      <c r="E5">
        <f>'AAA Top 50'!H8</f>
        <v>10</v>
      </c>
      <c r="F5">
        <f>'AAA Top 50'!I8</f>
        <v>9</v>
      </c>
      <c r="G5">
        <f>'AAA Top 50'!J8</f>
        <v>90</v>
      </c>
      <c r="H5">
        <f>'AAA Top 50'!K8</f>
        <v>92.8</v>
      </c>
      <c r="I5">
        <f>'AAA Top 50'!L8</f>
        <v>9.9090909090909083</v>
      </c>
    </row>
    <row r="6" spans="1:9">
      <c r="A6">
        <f>'AAA Top 50'!A9</f>
        <v>5</v>
      </c>
      <c r="B6" t="str">
        <f>'AAA Top 50'!B9</f>
        <v>The Last of Us</v>
      </c>
      <c r="C6">
        <f>'AAA Top 50'!F9</f>
        <v>95</v>
      </c>
      <c r="D6">
        <f>'AAA Top 50'!G9</f>
        <v>0</v>
      </c>
      <c r="E6">
        <f>'AAA Top 50'!H9</f>
        <v>10</v>
      </c>
      <c r="F6">
        <f>'AAA Top 50'!I9</f>
        <v>8</v>
      </c>
      <c r="G6">
        <f>'AAA Top 50'!J9</f>
        <v>0</v>
      </c>
      <c r="H6">
        <f>'AAA Top 50'!K9</f>
        <v>91.666666666666671</v>
      </c>
      <c r="I6">
        <f>'AAA Top 50'!L9</f>
        <v>9.8787878787878789</v>
      </c>
    </row>
    <row r="7" spans="1:9">
      <c r="A7">
        <f>'AAA Top 50'!A10</f>
        <v>6</v>
      </c>
      <c r="B7" t="str">
        <f>'AAA Top 50'!B10</f>
        <v>Grand Theft Auto V</v>
      </c>
      <c r="C7">
        <f>'AAA Top 50'!F10</f>
        <v>97</v>
      </c>
      <c r="D7">
        <f>'AAA Top 50'!G10</f>
        <v>96</v>
      </c>
      <c r="E7">
        <f>'AAA Top 50'!H10</f>
        <v>10</v>
      </c>
      <c r="F7">
        <f>'AAA Top 50'!I10</f>
        <v>9</v>
      </c>
      <c r="G7">
        <f>'AAA Top 50'!J10</f>
        <v>93</v>
      </c>
      <c r="H7">
        <f>'AAA Top 50'!K10</f>
        <v>95.2</v>
      </c>
      <c r="I7">
        <f>'AAA Top 50'!L10</f>
        <v>9.8484848484848477</v>
      </c>
    </row>
    <row r="8" spans="1:9">
      <c r="A8">
        <f>'AAA Top 50'!A11</f>
        <v>7</v>
      </c>
      <c r="B8" t="str">
        <f>'AAA Top 50'!B11</f>
        <v>Grand Theft Auto IV</v>
      </c>
      <c r="C8">
        <f>'AAA Top 50'!F11</f>
        <v>98</v>
      </c>
      <c r="D8">
        <f>'AAA Top 50'!G11</f>
        <v>90</v>
      </c>
      <c r="E8">
        <f>'AAA Top 50'!H11</f>
        <v>0</v>
      </c>
      <c r="F8">
        <f>'AAA Top 50'!I11</f>
        <v>10</v>
      </c>
      <c r="G8">
        <f>'AAA Top 50'!J11</f>
        <v>0</v>
      </c>
      <c r="H8">
        <f>'AAA Top 50'!K11</f>
        <v>96</v>
      </c>
      <c r="I8" t="str">
        <f>'AAA Top 50'!L11</f>
        <v>9.8</v>
      </c>
    </row>
    <row r="9" spans="1:9">
      <c r="A9">
        <f>'AAA Top 50'!A12</f>
        <v>8</v>
      </c>
      <c r="B9" t="str">
        <f>'AAA Top 50'!B12</f>
        <v>Red Dead Redemption</v>
      </c>
      <c r="C9">
        <f>'AAA Top 50'!F12</f>
        <v>95</v>
      </c>
      <c r="D9">
        <f>'AAA Top 50'!G12</f>
        <v>0</v>
      </c>
      <c r="E9">
        <f>'AAA Top 50'!H12</f>
        <v>9.6999999999999993</v>
      </c>
      <c r="F9">
        <f>'AAA Top 50'!I12</f>
        <v>9.5</v>
      </c>
      <c r="G9">
        <f>'AAA Top 50'!J12</f>
        <v>0</v>
      </c>
      <c r="H9">
        <f>'AAA Top 50'!K12</f>
        <v>95.666666666666671</v>
      </c>
      <c r="I9">
        <f>'AAA Top 50'!L12</f>
        <v>9.7878787878787872</v>
      </c>
    </row>
    <row r="10" spans="1:9">
      <c r="A10">
        <f>'AAA Top 50'!A13</f>
        <v>9</v>
      </c>
      <c r="B10" t="str">
        <f>'AAA Top 50'!B13</f>
        <v>BioShock</v>
      </c>
      <c r="C10">
        <f>'AAA Top 50'!F13</f>
        <v>96</v>
      </c>
      <c r="D10">
        <f>'AAA Top 50'!G13</f>
        <v>96</v>
      </c>
      <c r="E10">
        <f>'AAA Top 50'!H13</f>
        <v>0</v>
      </c>
      <c r="F10">
        <f>'AAA Top 50'!I13</f>
        <v>9</v>
      </c>
      <c r="G10">
        <f>'AAA Top 50'!J13</f>
        <v>94</v>
      </c>
      <c r="H10">
        <f>'AAA Top 50'!K13</f>
        <v>94</v>
      </c>
      <c r="I10">
        <f>'AAA Top 50'!L13</f>
        <v>9.7575757575757578</v>
      </c>
    </row>
    <row r="11" spans="1:9">
      <c r="A11">
        <f>'AAA Top 50'!A14</f>
        <v>10</v>
      </c>
      <c r="B11" t="str">
        <f>'AAA Top 50'!B14</f>
        <v>Mass Effect</v>
      </c>
      <c r="C11">
        <f>'AAA Top 50'!F14</f>
        <v>91</v>
      </c>
      <c r="D11">
        <f>'AAA Top 50'!G14</f>
        <v>0</v>
      </c>
      <c r="E11">
        <f>'AAA Top 50'!H14</f>
        <v>0</v>
      </c>
      <c r="F11">
        <f>'AAA Top 50'!I14</f>
        <v>8.5</v>
      </c>
      <c r="G11">
        <f>'AAA Top 50'!J14</f>
        <v>85</v>
      </c>
      <c r="H11">
        <f>'AAA Top 50'!K14</f>
        <v>87</v>
      </c>
      <c r="I11">
        <f>'AAA Top 50'!L14</f>
        <v>9.7272727272727266</v>
      </c>
    </row>
    <row r="12" spans="1:9">
      <c r="A12">
        <f>'AAA Top 50'!A15</f>
        <v>11</v>
      </c>
      <c r="B12" t="str">
        <f>'AAA Top 50'!B15</f>
        <v>The Elder Scrolls V: Skyrim</v>
      </c>
      <c r="C12">
        <f>'AAA Top 50'!F15</f>
        <v>96</v>
      </c>
      <c r="D12">
        <f>'AAA Top 50'!G15</f>
        <v>94</v>
      </c>
      <c r="E12">
        <f>'AAA Top 50'!H15</f>
        <v>9.5</v>
      </c>
      <c r="F12">
        <f>'AAA Top 50'!I15</f>
        <v>9.5</v>
      </c>
      <c r="G12">
        <f>'AAA Top 50'!J15</f>
        <v>94</v>
      </c>
      <c r="H12">
        <f>'AAA Top 50'!K15</f>
        <v>94.8</v>
      </c>
      <c r="I12" t="str">
        <f>'AAA Top 50'!L15</f>
        <v>9.7 (AI – not played)</v>
      </c>
    </row>
    <row r="13" spans="1:9">
      <c r="A13">
        <f>'AAA Top 50'!A16</f>
        <v>12</v>
      </c>
      <c r="B13" t="str">
        <f>'AAA Top 50'!B16</f>
        <v>Baldur's Gate 3</v>
      </c>
      <c r="C13">
        <f>'AAA Top 50'!F16</f>
        <v>96</v>
      </c>
      <c r="D13">
        <f>'AAA Top 50'!G16</f>
        <v>96</v>
      </c>
      <c r="E13">
        <f>'AAA Top 50'!H16</f>
        <v>10</v>
      </c>
      <c r="F13">
        <f>'AAA Top 50'!I16</f>
        <v>10</v>
      </c>
      <c r="G13">
        <f>'AAA Top 50'!J16</f>
        <v>97</v>
      </c>
      <c r="H13">
        <f>'AAA Top 50'!K16</f>
        <v>97.8</v>
      </c>
      <c r="I13" t="str">
        <f>'AAA Top 50'!L16</f>
        <v>9.7 (AI – not played)</v>
      </c>
    </row>
    <row r="14" spans="1:9">
      <c r="A14">
        <f>'AAA Top 50'!A17</f>
        <v>13</v>
      </c>
      <c r="B14" t="str">
        <f>'AAA Top 50'!B17</f>
        <v>Clair Obscur: Expedition 33</v>
      </c>
      <c r="C14">
        <f>'AAA Top 50'!F17</f>
        <v>92</v>
      </c>
      <c r="D14">
        <f>'AAA Top 50'!G17</f>
        <v>91</v>
      </c>
      <c r="E14">
        <f>'AAA Top 50'!H17</f>
        <v>9</v>
      </c>
      <c r="F14">
        <f>'AAA Top 50'!I17</f>
        <v>9</v>
      </c>
      <c r="G14">
        <f>'AAA Top 50'!J17</f>
        <v>0</v>
      </c>
      <c r="H14">
        <f>'AAA Top 50'!K17</f>
        <v>90.75</v>
      </c>
      <c r="I14">
        <f>'AAA Top 50'!L17</f>
        <v>9.6363636363636367</v>
      </c>
    </row>
    <row r="15" spans="1:9">
      <c r="A15">
        <f>'AAA Top 50'!A18</f>
        <v>14</v>
      </c>
      <c r="B15" t="str">
        <f>'AAA Top 50'!B18</f>
        <v>Batman: Arkham City</v>
      </c>
      <c r="C15">
        <f>'AAA Top 50'!F18</f>
        <v>94</v>
      </c>
      <c r="D15">
        <f>'AAA Top 50'!G18</f>
        <v>94</v>
      </c>
      <c r="E15">
        <f>'AAA Top 50'!H18</f>
        <v>9.5</v>
      </c>
      <c r="F15">
        <f>'AAA Top 50'!I18</f>
        <v>9</v>
      </c>
      <c r="G15">
        <f>'AAA Top 50'!J18</f>
        <v>94</v>
      </c>
      <c r="H15">
        <f>'AAA Top 50'!K18</f>
        <v>93.4</v>
      </c>
      <c r="I15">
        <f>'AAA Top 50'!L18</f>
        <v>9.6060606060606055</v>
      </c>
    </row>
    <row r="16" spans="1:9">
      <c r="A16">
        <f>'AAA Top 50'!A19</f>
        <v>15</v>
      </c>
      <c r="B16" t="str">
        <f>'AAA Top 50'!B19</f>
        <v>Elden Ring</v>
      </c>
      <c r="C16">
        <f>'AAA Top 50'!F19</f>
        <v>96</v>
      </c>
      <c r="D16">
        <f>'AAA Top 50'!G19</f>
        <v>94</v>
      </c>
      <c r="E16">
        <f>'AAA Top 50'!H19</f>
        <v>10</v>
      </c>
      <c r="F16">
        <f>'AAA Top 50'!I19</f>
        <v>10</v>
      </c>
      <c r="G16">
        <f>'AAA Top 50'!J19</f>
        <v>95</v>
      </c>
      <c r="H16">
        <f>'AAA Top 50'!K19</f>
        <v>97</v>
      </c>
      <c r="I16" t="str">
        <f>'AAA Top 50'!L19</f>
        <v>9.6 (AI – not played)</v>
      </c>
    </row>
    <row r="17" spans="1:9">
      <c r="A17">
        <f>'AAA Top 50'!A20</f>
        <v>16</v>
      </c>
      <c r="B17" t="str">
        <f>'AAA Top 50'!B20</f>
        <v>Uncharted 4: A Thief's End</v>
      </c>
      <c r="C17">
        <f>'AAA Top 50'!F20</f>
        <v>93</v>
      </c>
      <c r="D17">
        <f>'AAA Top 50'!G20</f>
        <v>0</v>
      </c>
      <c r="E17">
        <f>'AAA Top 50'!H20</f>
        <v>0</v>
      </c>
      <c r="F17">
        <f>'AAA Top 50'!I20</f>
        <v>10</v>
      </c>
      <c r="G17">
        <f>'AAA Top 50'!J20</f>
        <v>0</v>
      </c>
      <c r="H17">
        <f>'AAA Top 50'!K20</f>
        <v>96.5</v>
      </c>
      <c r="I17">
        <f>'AAA Top 50'!L20</f>
        <v>9.545454545454545</v>
      </c>
    </row>
    <row r="18" spans="1:9">
      <c r="A18">
        <f>'AAA Top 50'!A21</f>
        <v>17</v>
      </c>
      <c r="B18" t="str">
        <f>'AAA Top 50'!B21</f>
        <v>God of War Ragnarök</v>
      </c>
      <c r="C18">
        <f>'AAA Top 50'!F21</f>
        <v>94</v>
      </c>
      <c r="D18">
        <f>'AAA Top 50'!G21</f>
        <v>94</v>
      </c>
      <c r="E18">
        <f>'AAA Top 50'!H21</f>
        <v>10</v>
      </c>
      <c r="F18">
        <f>'AAA Top 50'!I21</f>
        <v>10</v>
      </c>
      <c r="G18">
        <f>'AAA Top 50'!J21</f>
        <v>90</v>
      </c>
      <c r="H18">
        <f>'AAA Top 50'!K21</f>
        <v>95.6</v>
      </c>
      <c r="I18">
        <f>'AAA Top 50'!L21</f>
        <v>9.5151515151515156</v>
      </c>
    </row>
    <row r="19" spans="1:9">
      <c r="A19">
        <f>'AAA Top 50'!A22</f>
        <v>18</v>
      </c>
      <c r="B19" t="str">
        <f>'AAA Top 50'!B22</f>
        <v>The Last of Us Part II</v>
      </c>
      <c r="C19">
        <f>'AAA Top 50'!F22</f>
        <v>93</v>
      </c>
      <c r="D19">
        <f>'AAA Top 50'!G22</f>
        <v>0</v>
      </c>
      <c r="E19">
        <f>'AAA Top 50'!H22</f>
        <v>0</v>
      </c>
      <c r="F19">
        <f>'AAA Top 50'!I22</f>
        <v>8</v>
      </c>
      <c r="G19">
        <f>'AAA Top 50'!J22</f>
        <v>0</v>
      </c>
      <c r="H19">
        <f>'AAA Top 50'!K22</f>
        <v>86.5</v>
      </c>
      <c r="I19">
        <f>'AAA Top 50'!L22</f>
        <v>9.4848484848484844</v>
      </c>
    </row>
    <row r="20" spans="1:9">
      <c r="A20">
        <f>'AAA Top 50'!A23</f>
        <v>19</v>
      </c>
      <c r="B20" t="str">
        <f>'AAA Top 50'!B23</f>
        <v>Grand Theft Auto: San Andreas</v>
      </c>
      <c r="C20">
        <f>'AAA Top 50'!F23</f>
        <v>95</v>
      </c>
      <c r="D20">
        <f>'AAA Top 50'!G23</f>
        <v>0</v>
      </c>
      <c r="E20">
        <f>'AAA Top 50'!H23</f>
        <v>0</v>
      </c>
      <c r="F20">
        <f>'AAA Top 50'!I23</f>
        <v>9.6</v>
      </c>
      <c r="G20">
        <f>'AAA Top 50'!J23</f>
        <v>0</v>
      </c>
      <c r="H20">
        <f>'AAA Top 50'!K23</f>
        <v>95.5</v>
      </c>
      <c r="I20">
        <f>'AAA Top 50'!L23</f>
        <v>9.454545454545455</v>
      </c>
    </row>
    <row r="21" spans="1:9">
      <c r="A21">
        <f>'AAA Top 50'!A24</f>
        <v>20</v>
      </c>
      <c r="B21" t="str">
        <f>'AAA Top 50'!B24</f>
        <v>Mass Effect 3</v>
      </c>
      <c r="C21">
        <f>'AAA Top 50'!F24</f>
        <v>93</v>
      </c>
      <c r="D21">
        <f>'AAA Top 50'!G24</f>
        <v>89</v>
      </c>
      <c r="E21">
        <f>'AAA Top 50'!H24</f>
        <v>9.5</v>
      </c>
      <c r="F21">
        <f>'AAA Top 50'!I24</f>
        <v>9.5</v>
      </c>
      <c r="G21">
        <f>'AAA Top 50'!J24</f>
        <v>90</v>
      </c>
      <c r="H21">
        <f>'AAA Top 50'!K24</f>
        <v>92.4</v>
      </c>
      <c r="I21">
        <f>'AAA Top 50'!L24</f>
        <v>9.4242424242424239</v>
      </c>
    </row>
    <row r="22" spans="1:9">
      <c r="A22">
        <f>'AAA Top 50'!A25</f>
        <v>21</v>
      </c>
      <c r="B22" t="str">
        <f>'AAA Top 50'!B25</f>
        <v>Fallout 3</v>
      </c>
      <c r="C22">
        <f>'AAA Top 50'!F25</f>
        <v>93</v>
      </c>
      <c r="D22">
        <f>'AAA Top 50'!G25</f>
        <v>91</v>
      </c>
      <c r="E22">
        <f>'AAA Top 50'!H25</f>
        <v>9.6</v>
      </c>
      <c r="F22">
        <f>'AAA Top 50'!I25</f>
        <v>9</v>
      </c>
      <c r="G22">
        <f>'AAA Top 50'!J25</f>
        <v>92</v>
      </c>
      <c r="H22">
        <f>'AAA Top 50'!K25</f>
        <v>92.4</v>
      </c>
      <c r="I22">
        <f>'AAA Top 50'!L25</f>
        <v>9.3939393939393945</v>
      </c>
    </row>
    <row r="23" spans="1:9">
      <c r="A23">
        <f>'AAA Top 50'!A26</f>
        <v>22</v>
      </c>
      <c r="B23" t="str">
        <f>'AAA Top 50'!B26</f>
        <v>Baldur's Gate II: Shadows of Amn</v>
      </c>
      <c r="C23">
        <f>'AAA Top 50'!F26</f>
        <v>95</v>
      </c>
      <c r="D23">
        <f>'AAA Top 50'!G26</f>
        <v>0</v>
      </c>
      <c r="E23">
        <f>'AAA Top 50'!H26</f>
        <v>0</v>
      </c>
      <c r="F23">
        <f>'AAA Top 50'!I26</f>
        <v>9.6</v>
      </c>
      <c r="G23">
        <f>'AAA Top 50'!J26</f>
        <v>0</v>
      </c>
      <c r="H23">
        <f>'AAA Top 50'!K26</f>
        <v>95.5</v>
      </c>
      <c r="I23" t="str">
        <f>'AAA Top 50'!L26</f>
        <v>9.4 (AI – not played)</v>
      </c>
    </row>
    <row r="24" spans="1:9">
      <c r="A24">
        <f>'AAA Top 50'!A27</f>
        <v>23</v>
      </c>
      <c r="B24" t="str">
        <f>'AAA Top 50'!B27</f>
        <v>Halo 3</v>
      </c>
      <c r="C24">
        <f>'AAA Top 50'!F27</f>
        <v>94</v>
      </c>
      <c r="D24">
        <f>'AAA Top 50'!G27</f>
        <v>0</v>
      </c>
      <c r="E24">
        <f>'AAA Top 50'!H27</f>
        <v>0</v>
      </c>
      <c r="F24">
        <f>'AAA Top 50'!I27</f>
        <v>9.5</v>
      </c>
      <c r="G24">
        <f>'AAA Top 50'!J27</f>
        <v>0</v>
      </c>
      <c r="H24">
        <f>'AAA Top 50'!K27</f>
        <v>94.5</v>
      </c>
      <c r="I24">
        <f>'AAA Top 50'!L27</f>
        <v>9.3333333333333339</v>
      </c>
    </row>
    <row r="25" spans="1:9">
      <c r="A25">
        <f>'AAA Top 50'!A28</f>
        <v>24</v>
      </c>
      <c r="B25" t="str">
        <f>'AAA Top 50'!B28</f>
        <v>Portal 2</v>
      </c>
      <c r="C25">
        <f>'AAA Top 50'!F28</f>
        <v>95</v>
      </c>
      <c r="D25">
        <f>'AAA Top 50'!G28</f>
        <v>95</v>
      </c>
      <c r="E25">
        <f>'AAA Top 50'!H28</f>
        <v>10</v>
      </c>
      <c r="F25">
        <f>'AAA Top 50'!I28</f>
        <v>10</v>
      </c>
      <c r="G25">
        <f>'AAA Top 50'!J28</f>
        <v>94</v>
      </c>
      <c r="H25">
        <f>'AAA Top 50'!K28</f>
        <v>96.8</v>
      </c>
      <c r="I25" t="str">
        <f>'AAA Top 50'!L28</f>
        <v>9.3 (AI – not played)</v>
      </c>
    </row>
    <row r="26" spans="1:9">
      <c r="A26">
        <f>'AAA Top 50'!A29</f>
        <v>25</v>
      </c>
      <c r="B26" t="str">
        <f>'AAA Top 50'!B29</f>
        <v>Half-Life 2</v>
      </c>
      <c r="C26">
        <f>'AAA Top 50'!F29</f>
        <v>96</v>
      </c>
      <c r="D26">
        <f>'AAA Top 50'!G29</f>
        <v>96</v>
      </c>
      <c r="E26">
        <f>'AAA Top 50'!H29</f>
        <v>9.6999999999999993</v>
      </c>
      <c r="F26">
        <f>'AAA Top 50'!I29</f>
        <v>9.1999999999999993</v>
      </c>
      <c r="G26">
        <f>'AAA Top 50'!J29</f>
        <v>96</v>
      </c>
      <c r="H26">
        <f>'AAA Top 50'!K29</f>
        <v>95.4</v>
      </c>
      <c r="I26">
        <f>'AAA Top 50'!L29</f>
        <v>9.2727272727272734</v>
      </c>
    </row>
    <row r="27" spans="1:9">
      <c r="A27">
        <f>'AAA Top 50'!A30</f>
        <v>26</v>
      </c>
      <c r="B27" t="str">
        <f>'AAA Top 50'!B30</f>
        <v>Cyberpunk 2077</v>
      </c>
      <c r="C27">
        <f>'AAA Top 50'!F30</f>
        <v>86</v>
      </c>
      <c r="D27">
        <f>'AAA Top 50'!G30</f>
        <v>86</v>
      </c>
      <c r="E27">
        <f>'AAA Top 50'!H30</f>
        <v>9</v>
      </c>
      <c r="F27">
        <f>'AAA Top 50'!I30</f>
        <v>7</v>
      </c>
      <c r="G27">
        <f>'AAA Top 50'!J30</f>
        <v>78</v>
      </c>
      <c r="H27">
        <f>'AAA Top 50'!K30</f>
        <v>82</v>
      </c>
      <c r="I27">
        <f>'AAA Top 50'!L30</f>
        <v>9.2424242424242422</v>
      </c>
    </row>
    <row r="28" spans="1:9">
      <c r="A28">
        <f>'AAA Top 50'!A31</f>
        <v>27</v>
      </c>
      <c r="B28" t="str">
        <f>'AAA Top 50'!B31</f>
        <v>Resident Evil 4</v>
      </c>
      <c r="C28">
        <f>'AAA Top 50'!F31</f>
        <v>93</v>
      </c>
      <c r="D28">
        <f>'AAA Top 50'!G31</f>
        <v>91</v>
      </c>
      <c r="E28">
        <f>'AAA Top 50'!H31</f>
        <v>10</v>
      </c>
      <c r="F28">
        <f>'AAA Top 50'!I31</f>
        <v>10</v>
      </c>
      <c r="G28">
        <f>'AAA Top 50'!J31</f>
        <v>80</v>
      </c>
      <c r="H28">
        <f>'AAA Top 50'!K31</f>
        <v>92.8</v>
      </c>
      <c r="I28">
        <f>'AAA Top 50'!L31</f>
        <v>9.2121212121212128</v>
      </c>
    </row>
    <row r="29" spans="1:9">
      <c r="A29">
        <f>'AAA Top 50'!A32</f>
        <v>28</v>
      </c>
      <c r="B29" t="str">
        <f>'AAA Top 50'!B32</f>
        <v>Alan Wake 2</v>
      </c>
      <c r="C29">
        <f>'AAA Top 50'!F32</f>
        <v>89</v>
      </c>
      <c r="D29">
        <f>'AAA Top 50'!G32</f>
        <v>89</v>
      </c>
      <c r="E29">
        <f>'AAA Top 50'!H32</f>
        <v>9</v>
      </c>
      <c r="F29">
        <f>'AAA Top 50'!I32</f>
        <v>9</v>
      </c>
      <c r="G29">
        <f>'AAA Top 50'!J32</f>
        <v>88</v>
      </c>
      <c r="H29">
        <f>'AAA Top 50'!K32</f>
        <v>89.2</v>
      </c>
      <c r="I29" t="str">
        <f>'AAA Top 50'!L32</f>
        <v>9.2 (AI – not played)</v>
      </c>
    </row>
    <row r="30" spans="1:9">
      <c r="A30">
        <f>'AAA Top 50'!A33</f>
        <v>29</v>
      </c>
      <c r="B30" t="str">
        <f>'AAA Top 50'!B33</f>
        <v>Control</v>
      </c>
      <c r="C30">
        <f>'AAA Top 50'!F33</f>
        <v>85</v>
      </c>
      <c r="D30">
        <f>'AAA Top 50'!G33</f>
        <v>82</v>
      </c>
      <c r="E30">
        <f>'AAA Top 50'!H33</f>
        <v>8.8000000000000007</v>
      </c>
      <c r="F30">
        <f>'AAA Top 50'!I33</f>
        <v>8</v>
      </c>
      <c r="G30">
        <f>'AAA Top 50'!J33</f>
        <v>88</v>
      </c>
      <c r="H30">
        <f>'AAA Top 50'!K33</f>
        <v>84.6</v>
      </c>
      <c r="I30">
        <f>'AAA Top 50'!L33</f>
        <v>9.1515151515151523</v>
      </c>
    </row>
    <row r="31" spans="1:9">
      <c r="A31">
        <f>'AAA Top 50'!A34</f>
        <v>30</v>
      </c>
      <c r="B31" t="str">
        <f>'AAA Top 50'!B34</f>
        <v>Star Wars: Knights of the Old Republic</v>
      </c>
      <c r="C31">
        <f>'AAA Top 50'!F34</f>
        <v>94</v>
      </c>
      <c r="D31">
        <f>'AAA Top 50'!G34</f>
        <v>94</v>
      </c>
      <c r="E31">
        <f>'AAA Top 50'!H34</f>
        <v>9.1999999999999993</v>
      </c>
      <c r="F31">
        <f>'AAA Top 50'!I34</f>
        <v>9.1</v>
      </c>
      <c r="G31">
        <f>'AAA Top 50'!J34</f>
        <v>92</v>
      </c>
      <c r="H31">
        <f>'AAA Top 50'!K34</f>
        <v>92.6</v>
      </c>
      <c r="I31" t="str">
        <f>'AAA Top 50'!L34</f>
        <v>9.1 (AI – not played)</v>
      </c>
    </row>
    <row r="32" spans="1:9">
      <c r="A32">
        <f>'AAA Top 50'!A35</f>
        <v>31</v>
      </c>
      <c r="B32" t="str">
        <f>'AAA Top 50'!B35</f>
        <v>Metal Gear Solid 3: Snake Eater</v>
      </c>
      <c r="C32">
        <f>'AAA Top 50'!F35</f>
        <v>91</v>
      </c>
      <c r="D32">
        <f>'AAA Top 50'!G35</f>
        <v>0</v>
      </c>
      <c r="E32">
        <f>'AAA Top 50'!H35</f>
        <v>0</v>
      </c>
      <c r="F32">
        <f>'AAA Top 50'!I35</f>
        <v>9</v>
      </c>
      <c r="G32">
        <f>'AAA Top 50'!J35</f>
        <v>0</v>
      </c>
      <c r="H32">
        <f>'AAA Top 50'!K35</f>
        <v>90.5</v>
      </c>
      <c r="I32">
        <f>'AAA Top 50'!L35</f>
        <v>9.0909090909090899</v>
      </c>
    </row>
    <row r="33" spans="1:9">
      <c r="A33">
        <f>'AAA Top 50'!A36</f>
        <v>32</v>
      </c>
      <c r="B33" t="str">
        <f>'AAA Top 50'!B36</f>
        <v>Call of Duty 4: Modern Warfare</v>
      </c>
      <c r="C33">
        <f>'AAA Top 50'!F36</f>
        <v>94</v>
      </c>
      <c r="D33">
        <f>'AAA Top 50'!G36</f>
        <v>92</v>
      </c>
      <c r="E33">
        <f>'AAA Top 50'!H36</f>
        <v>9.4</v>
      </c>
      <c r="F33">
        <f>'AAA Top 50'!I36</f>
        <v>9</v>
      </c>
      <c r="G33">
        <f>'AAA Top 50'!J36</f>
        <v>0</v>
      </c>
      <c r="H33">
        <f>'AAA Top 50'!K36</f>
        <v>92.5</v>
      </c>
      <c r="I33">
        <f>'AAA Top 50'!L36</f>
        <v>9.0606060606060606</v>
      </c>
    </row>
    <row r="34" spans="1:9">
      <c r="A34">
        <f>'AAA Top 50'!A37</f>
        <v>33</v>
      </c>
      <c r="B34" t="str">
        <f>'AAA Top 50'!B37</f>
        <v>Assassin's Creed IV: Black Flag</v>
      </c>
      <c r="C34">
        <f>'AAA Top 50'!F37</f>
        <v>88</v>
      </c>
      <c r="D34">
        <f>'AAA Top 50'!G37</f>
        <v>84</v>
      </c>
      <c r="E34">
        <f>'AAA Top 50'!H37</f>
        <v>9</v>
      </c>
      <c r="F34">
        <f>'AAA Top 50'!I37</f>
        <v>9</v>
      </c>
      <c r="G34">
        <f>'AAA Top 50'!J37</f>
        <v>86</v>
      </c>
      <c r="H34">
        <f>'AAA Top 50'!K37</f>
        <v>87.6</v>
      </c>
      <c r="I34">
        <f>'AAA Top 50'!L37</f>
        <v>9.0303030303030312</v>
      </c>
    </row>
    <row r="35" spans="1:9">
      <c r="A35">
        <f>'AAA Top 50'!A38</f>
        <v>34</v>
      </c>
      <c r="B35" t="str">
        <f>'AAA Top 50'!B38</f>
        <v>Dishonored</v>
      </c>
      <c r="C35">
        <f>'AAA Top 50'!F38</f>
        <v>88</v>
      </c>
      <c r="D35">
        <f>'AAA Top 50'!G38</f>
        <v>88</v>
      </c>
      <c r="E35">
        <f>'AAA Top 50'!H38</f>
        <v>9.1999999999999993</v>
      </c>
      <c r="F35">
        <f>'AAA Top 50'!I38</f>
        <v>9</v>
      </c>
      <c r="G35">
        <f>'AAA Top 50'!J38</f>
        <v>88</v>
      </c>
      <c r="H35">
        <f>'AAA Top 50'!K38</f>
        <v>89.2</v>
      </c>
      <c r="I35" t="str">
        <f>'AAA Top 50'!L38</f>
        <v>9.0 (AI – not played)</v>
      </c>
    </row>
    <row r="36" spans="1:9">
      <c r="A36">
        <f>'AAA Top 50'!A39</f>
        <v>35</v>
      </c>
      <c r="B36" t="str">
        <f>'AAA Top 50'!B39</f>
        <v>The Elder Scrolls IV: Oblivion</v>
      </c>
      <c r="C36">
        <f>'AAA Top 50'!F39</f>
        <v>94</v>
      </c>
      <c r="D36">
        <f>'AAA Top 50'!G39</f>
        <v>94</v>
      </c>
      <c r="E36">
        <f>'AAA Top 50'!H39</f>
        <v>9.3000000000000007</v>
      </c>
      <c r="F36">
        <f>'AAA Top 50'!I39</f>
        <v>9.5</v>
      </c>
      <c r="G36">
        <f>'AAA Top 50'!J39</f>
        <v>92</v>
      </c>
      <c r="H36">
        <f>'AAA Top 50'!K39</f>
        <v>93.6</v>
      </c>
      <c r="I36">
        <f>'AAA Top 50'!L39</f>
        <v>8.9696969696969688</v>
      </c>
    </row>
    <row r="37" spans="1:9">
      <c r="A37">
        <f>'AAA Top 50'!A40</f>
        <v>36</v>
      </c>
      <c r="B37" t="str">
        <f>'AAA Top 50'!B40</f>
        <v>Halo: Reach</v>
      </c>
      <c r="C37">
        <f>'AAA Top 50'!F40</f>
        <v>91</v>
      </c>
      <c r="D37">
        <f>'AAA Top 50'!G40</f>
        <v>0</v>
      </c>
      <c r="E37">
        <f>'AAA Top 50'!H40</f>
        <v>0</v>
      </c>
      <c r="F37">
        <f>'AAA Top 50'!I40</f>
        <v>9.5</v>
      </c>
      <c r="G37">
        <f>'AAA Top 50'!J40</f>
        <v>0</v>
      </c>
      <c r="H37">
        <f>'AAA Top 50'!K40</f>
        <v>93</v>
      </c>
      <c r="I37">
        <f>'AAA Top 50'!L40</f>
        <v>8.9393939393939394</v>
      </c>
    </row>
    <row r="38" spans="1:9">
      <c r="A38">
        <f>'AAA Top 50'!A41</f>
        <v>37</v>
      </c>
      <c r="B38" t="str">
        <f>'AAA Top 50'!B41</f>
        <v>Far Cry 4</v>
      </c>
      <c r="C38">
        <f>'AAA Top 50'!F41</f>
        <v>80</v>
      </c>
      <c r="D38">
        <f>'AAA Top 50'!G41</f>
        <v>80</v>
      </c>
      <c r="E38">
        <f>'AAA Top 50'!H41</f>
        <v>8.5</v>
      </c>
      <c r="F38">
        <f>'AAA Top 50'!I41</f>
        <v>8.5</v>
      </c>
      <c r="G38">
        <f>'AAA Top 50'!J41</f>
        <v>80</v>
      </c>
      <c r="H38">
        <f>'AAA Top 50'!K41</f>
        <v>82</v>
      </c>
      <c r="I38">
        <f>'AAA Top 50'!L41</f>
        <v>8.9090909090909101</v>
      </c>
    </row>
    <row r="39" spans="1:9">
      <c r="A39">
        <f>'AAA Top 50'!A42</f>
        <v>38</v>
      </c>
      <c r="B39" t="str">
        <f>'AAA Top 50'!B42</f>
        <v>Dragon Age: Inquisition</v>
      </c>
      <c r="C39">
        <f>'AAA Top 50'!F42</f>
        <v>89</v>
      </c>
      <c r="D39">
        <f>'AAA Top 50'!G42</f>
        <v>85</v>
      </c>
      <c r="E39">
        <f>'AAA Top 50'!H42</f>
        <v>8.8000000000000007</v>
      </c>
      <c r="F39">
        <f>'AAA Top 50'!I42</f>
        <v>9</v>
      </c>
      <c r="G39">
        <f>'AAA Top 50'!J42</f>
        <v>87</v>
      </c>
      <c r="H39">
        <f>'AAA Top 50'!K42</f>
        <v>87.8</v>
      </c>
      <c r="I39" t="str">
        <f>'AAA Top 50'!L42</f>
        <v>8.9 (AI – not played)</v>
      </c>
    </row>
    <row r="40" spans="1:9">
      <c r="A40">
        <f>'AAA Top 50'!A43</f>
        <v>39</v>
      </c>
      <c r="B40" t="str">
        <f>'AAA Top 50'!B43</f>
        <v>Metro Exodus</v>
      </c>
      <c r="C40">
        <f>'AAA Top 50'!F43</f>
        <v>80</v>
      </c>
      <c r="D40">
        <f>'AAA Top 50'!G43</f>
        <v>81</v>
      </c>
      <c r="E40">
        <f>'AAA Top 50'!H43</f>
        <v>8.6</v>
      </c>
      <c r="F40">
        <f>'AAA Top 50'!I43</f>
        <v>8</v>
      </c>
      <c r="G40">
        <f>'AAA Top 50'!J43</f>
        <v>79</v>
      </c>
      <c r="H40">
        <f>'AAA Top 50'!K43</f>
        <v>81.2</v>
      </c>
      <c r="I40">
        <f>'AAA Top 50'!L43</f>
        <v>8.8484848484848477</v>
      </c>
    </row>
    <row r="41" spans="1:9">
      <c r="A41">
        <f>'AAA Top 50'!A44</f>
        <v>40</v>
      </c>
      <c r="B41" t="str">
        <f>'AAA Top 50'!B44</f>
        <v>Resident Evil 2</v>
      </c>
      <c r="C41">
        <f>'AAA Top 50'!F44</f>
        <v>91</v>
      </c>
      <c r="D41">
        <f>'AAA Top 50'!G44</f>
        <v>91</v>
      </c>
      <c r="E41">
        <f>'AAA Top 50'!H44</f>
        <v>9</v>
      </c>
      <c r="F41">
        <f>'AAA Top 50'!I44</f>
        <v>9</v>
      </c>
      <c r="G41">
        <f>'AAA Top 50'!J44</f>
        <v>90</v>
      </c>
      <c r="H41">
        <f>'AAA Top 50'!K44</f>
        <v>90.4</v>
      </c>
      <c r="I41">
        <f>'AAA Top 50'!L44</f>
        <v>8.8181818181818183</v>
      </c>
    </row>
    <row r="42" spans="1:9">
      <c r="A42">
        <f>'AAA Top 50'!A45</f>
        <v>41</v>
      </c>
      <c r="B42" t="str">
        <f>'AAA Top 50'!B45</f>
        <v>Resident Evil Requiem</v>
      </c>
      <c r="C42">
        <f>'AAA Top 50'!F45</f>
        <v>89</v>
      </c>
      <c r="D42">
        <f>'AAA Top 50'!G45</f>
        <v>92</v>
      </c>
      <c r="E42">
        <f>'AAA Top 50'!H45</f>
        <v>9</v>
      </c>
      <c r="F42">
        <f>'AAA Top 50'!I45</f>
        <v>8</v>
      </c>
      <c r="G42">
        <f>'AAA Top 50'!J45</f>
        <v>92</v>
      </c>
      <c r="H42">
        <f>'AAA Top 50'!K45</f>
        <v>88.6</v>
      </c>
      <c r="I42">
        <f>'AAA Top 50'!L45</f>
        <v>8.7878787878787872</v>
      </c>
    </row>
    <row r="43" spans="1:9">
      <c r="A43">
        <f>'AAA Top 50'!A46</f>
        <v>42</v>
      </c>
      <c r="B43" t="str">
        <f>'AAA Top 50'!B46</f>
        <v>Titanfall 2</v>
      </c>
      <c r="C43">
        <f>'AAA Top 50'!F46</f>
        <v>89</v>
      </c>
      <c r="D43">
        <f>'AAA Top 50'!G46</f>
        <v>86</v>
      </c>
      <c r="E43">
        <f>'AAA Top 50'!H46</f>
        <v>9</v>
      </c>
      <c r="F43">
        <f>'AAA Top 50'!I46</f>
        <v>9</v>
      </c>
      <c r="G43">
        <f>'AAA Top 50'!J46</f>
        <v>89</v>
      </c>
      <c r="H43">
        <f>'AAA Top 50'!K46</f>
        <v>88.8</v>
      </c>
      <c r="I43">
        <f>'AAA Top 50'!L46</f>
        <v>8.7575757575757578</v>
      </c>
    </row>
    <row r="44" spans="1:9">
      <c r="A44">
        <f>'AAA Top 50'!A47</f>
        <v>43</v>
      </c>
      <c r="B44" t="str">
        <f>'AAA Top 50'!B47</f>
        <v>Star Wars Battlefront II</v>
      </c>
      <c r="C44">
        <f>'AAA Top 50'!F47</f>
        <v>68</v>
      </c>
      <c r="D44">
        <f>'AAA Top 50'!G47</f>
        <v>68</v>
      </c>
      <c r="E44">
        <f>'AAA Top 50'!H47</f>
        <v>8</v>
      </c>
      <c r="F44">
        <f>'AAA Top 50'!I47</f>
        <v>8</v>
      </c>
      <c r="G44">
        <f>'AAA Top 50'!J47</f>
        <v>80</v>
      </c>
      <c r="H44">
        <f>'AAA Top 50'!K47</f>
        <v>75.2</v>
      </c>
      <c r="I44">
        <f>'AAA Top 50'!L47</f>
        <v>8.7272727272727266</v>
      </c>
    </row>
    <row r="45" spans="1:9">
      <c r="A45">
        <f>'AAA Top 50'!A48</f>
        <v>44</v>
      </c>
      <c r="B45" t="str">
        <f>'AAA Top 50'!B48</f>
        <v>Sekiro: Shadows Die Twice</v>
      </c>
      <c r="C45">
        <f>'AAA Top 50'!F48</f>
        <v>90</v>
      </c>
      <c r="D45">
        <f>'AAA Top 50'!G48</f>
        <v>90</v>
      </c>
      <c r="E45">
        <f>'AAA Top 50'!H48</f>
        <v>0</v>
      </c>
      <c r="F45">
        <f>'AAA Top 50'!I48</f>
        <v>9</v>
      </c>
      <c r="G45">
        <f>'AAA Top 50'!J48</f>
        <v>90</v>
      </c>
      <c r="H45">
        <f>'AAA Top 50'!K48</f>
        <v>90</v>
      </c>
      <c r="I45">
        <f>'AAA Top 50'!L48</f>
        <v>8.6969696969696972</v>
      </c>
    </row>
    <row r="46" spans="1:9">
      <c r="A46">
        <f>'AAA Top 50'!A49</f>
        <v>45</v>
      </c>
      <c r="B46" t="str">
        <f>'AAA Top 50'!B49</f>
        <v>Bloodborne</v>
      </c>
      <c r="C46">
        <f>'AAA Top 50'!F49</f>
        <v>92</v>
      </c>
      <c r="D46">
        <f>'AAA Top 50'!G49</f>
        <v>0</v>
      </c>
      <c r="E46">
        <f>'AAA Top 50'!H49</f>
        <v>0</v>
      </c>
      <c r="F46">
        <f>'AAA Top 50'!I49</f>
        <v>9</v>
      </c>
      <c r="G46">
        <f>'AAA Top 50'!J49</f>
        <v>0</v>
      </c>
      <c r="H46">
        <f>'AAA Top 50'!K49</f>
        <v>91</v>
      </c>
      <c r="I46">
        <f>'AAA Top 50'!L49</f>
        <v>8.6666666666666661</v>
      </c>
    </row>
    <row r="47" spans="1:9">
      <c r="A47">
        <f>'AAA Top 50'!A50</f>
        <v>46</v>
      </c>
      <c r="B47" t="str">
        <f>'AAA Top 50'!B50</f>
        <v>Grand Theft Auto: Vice City</v>
      </c>
      <c r="C47">
        <f>'AAA Top 50'!F50</f>
        <v>95</v>
      </c>
      <c r="D47">
        <f>'AAA Top 50'!G50</f>
        <v>0</v>
      </c>
      <c r="E47">
        <f>'AAA Top 50'!H50</f>
        <v>9.6</v>
      </c>
      <c r="F47">
        <f>'AAA Top 50'!I50</f>
        <v>9.6</v>
      </c>
      <c r="G47">
        <f>'AAA Top 50'!J50</f>
        <v>0</v>
      </c>
      <c r="H47">
        <f>'AAA Top 50'!K50</f>
        <v>95.666666666666671</v>
      </c>
      <c r="I47">
        <f>'AAA Top 50'!L50</f>
        <v>8.6363636363636367</v>
      </c>
    </row>
    <row r="48" spans="1:9">
      <c r="A48">
        <f>'AAA Top 50'!A51</f>
        <v>47</v>
      </c>
      <c r="B48" t="str">
        <f>'AAA Top 50'!B51</f>
        <v>Star Wars Jedi: Fallen Order</v>
      </c>
      <c r="C48">
        <f>'AAA Top 50'!F51</f>
        <v>81</v>
      </c>
      <c r="D48">
        <f>'AAA Top 50'!G51</f>
        <v>80</v>
      </c>
      <c r="E48">
        <f>'AAA Top 50'!H51</f>
        <v>9</v>
      </c>
      <c r="F48">
        <f>'AAA Top 50'!I51</f>
        <v>9</v>
      </c>
      <c r="G48">
        <f>'AAA Top 50'!J51</f>
        <v>81</v>
      </c>
      <c r="H48">
        <f>'AAA Top 50'!K51</f>
        <v>84.4</v>
      </c>
      <c r="I48">
        <f>'AAA Top 50'!L51</f>
        <v>8.6060606060606055</v>
      </c>
    </row>
    <row r="49" spans="1:9">
      <c r="A49">
        <f>'AAA Top 50'!A52</f>
        <v>48</v>
      </c>
      <c r="B49" t="str">
        <f>'AAA Top 50'!B52</f>
        <v>Horizon Zero Dawn</v>
      </c>
      <c r="C49">
        <f>'AAA Top 50'!F52</f>
        <v>89</v>
      </c>
      <c r="D49">
        <f>'AAA Top 50'!G52</f>
        <v>84</v>
      </c>
      <c r="E49">
        <f>'AAA Top 50'!H52</f>
        <v>9.3000000000000007</v>
      </c>
      <c r="F49">
        <f>'AAA Top 50'!I52</f>
        <v>9</v>
      </c>
      <c r="G49">
        <f>'AAA Top 50'!J52</f>
        <v>85</v>
      </c>
      <c r="H49">
        <f>'AAA Top 50'!K52</f>
        <v>88.2</v>
      </c>
      <c r="I49" t="str">
        <f>'AAA Top 50'!L52</f>
        <v>8.6 (AI – not played)</v>
      </c>
    </row>
    <row r="50" spans="1:9">
      <c r="A50">
        <f>'AAA Top 50'!A53</f>
        <v>49</v>
      </c>
      <c r="B50" t="str">
        <f>'AAA Top 50'!B53</f>
        <v>Horizon Forbidden West</v>
      </c>
      <c r="C50">
        <f>'AAA Top 50'!F53</f>
        <v>88</v>
      </c>
      <c r="D50">
        <f>'AAA Top 50'!G53</f>
        <v>88</v>
      </c>
      <c r="E50">
        <f>'AAA Top 50'!H53</f>
        <v>9</v>
      </c>
      <c r="F50">
        <f>'AAA Top 50'!I53</f>
        <v>9</v>
      </c>
      <c r="G50">
        <f>'AAA Top 50'!J53</f>
        <v>87</v>
      </c>
      <c r="H50">
        <f>'AAA Top 50'!K53</f>
        <v>88.6</v>
      </c>
      <c r="I50" t="str">
        <f>'AAA Top 50'!L53</f>
        <v>8.5 (AI – not played)</v>
      </c>
    </row>
    <row r="51" spans="1:9">
      <c r="A51">
        <f>'AAA Top 50'!A54</f>
        <v>50</v>
      </c>
      <c r="B51" t="str">
        <f>'AAA Top 50'!B54</f>
        <v>Ghost of Tsushima</v>
      </c>
      <c r="C51">
        <f>'AAA Top 50'!F54</f>
        <v>83</v>
      </c>
      <c r="D51">
        <f>'AAA Top 50'!G54</f>
        <v>87</v>
      </c>
      <c r="E51">
        <f>'AAA Top 50'!H54</f>
        <v>9</v>
      </c>
      <c r="F51">
        <f>'AAA Top 50'!I54</f>
        <v>7</v>
      </c>
      <c r="G51">
        <f>'AAA Top 50'!J54</f>
        <v>87</v>
      </c>
      <c r="H51">
        <f>'AAA Top 50'!K54</f>
        <v>83.4</v>
      </c>
      <c r="I51">
        <f>'AAA Top 50'!L54</f>
        <v>8.5151515151515156</v>
      </c>
    </row>
    <row r="52" spans="1:9">
      <c r="A52">
        <f>'AAA Top 50'!A56</f>
        <v>51</v>
      </c>
      <c r="B52" t="str">
        <f>'AAA Top 50'!B56</f>
        <v>DOOM Eternal</v>
      </c>
      <c r="C52">
        <f>'AAA Top 50'!F56</f>
        <v>88</v>
      </c>
      <c r="D52">
        <f>'AAA Top 50'!G56</f>
        <v>88</v>
      </c>
      <c r="E52">
        <f>'AAA Top 50'!H56</f>
        <v>9</v>
      </c>
      <c r="F52">
        <f>'AAA Top 50'!I56</f>
        <v>8</v>
      </c>
      <c r="G52">
        <f>'AAA Top 50'!J56</f>
        <v>94</v>
      </c>
      <c r="H52">
        <f>'AAA Top 50'!K56</f>
        <v>88</v>
      </c>
      <c r="I52">
        <f>'AAA Top 50'!L56</f>
        <v>8.4848484848484844</v>
      </c>
    </row>
    <row r="53" spans="1:9">
      <c r="A53">
        <f>'AAA Top 50'!A57</f>
        <v>52</v>
      </c>
      <c r="B53" t="str">
        <f>'AAA Top 50'!B57</f>
        <v>Star Wars Jedi: Survivor</v>
      </c>
      <c r="C53">
        <f>'AAA Top 50'!F57</f>
        <v>85</v>
      </c>
      <c r="D53">
        <f>'AAA Top 50'!G57</f>
        <v>79</v>
      </c>
      <c r="E53">
        <f>'AAA Top 50'!H57</f>
        <v>9</v>
      </c>
      <c r="F53">
        <f>'AAA Top 50'!I57</f>
        <v>9</v>
      </c>
      <c r="G53">
        <f>'AAA Top 50'!J57</f>
        <v>85</v>
      </c>
      <c r="H53">
        <f>'AAA Top 50'!K57</f>
        <v>85.8</v>
      </c>
      <c r="I53">
        <f>'AAA Top 50'!L57</f>
        <v>8.454545454545455</v>
      </c>
    </row>
    <row r="54" spans="1:9">
      <c r="A54">
        <f>'AAA Top 50'!A58</f>
        <v>53</v>
      </c>
      <c r="B54" t="str">
        <f>'AAA Top 50'!B58</f>
        <v>Death Stranding</v>
      </c>
      <c r="C54">
        <f>'AAA Top 50'!F58</f>
        <v>82</v>
      </c>
      <c r="D54">
        <f>'AAA Top 50'!G58</f>
        <v>85</v>
      </c>
      <c r="E54">
        <f>'AAA Top 50'!H58</f>
        <v>6.8</v>
      </c>
      <c r="F54">
        <f>'AAA Top 50'!I58</f>
        <v>9</v>
      </c>
      <c r="G54">
        <f>'AAA Top 50'!J58</f>
        <v>83</v>
      </c>
      <c r="H54">
        <f>'AAA Top 50'!K58</f>
        <v>81.599999999999994</v>
      </c>
      <c r="I54">
        <f>'AAA Top 50'!L58</f>
        <v>8.4242424242424239</v>
      </c>
    </row>
    <row r="55" spans="1:9">
      <c r="A55">
        <f>'AAA Top 50'!A59</f>
        <v>54</v>
      </c>
      <c r="B55" t="str">
        <f>'AAA Top 50'!B59</f>
        <v>Death Stranding 2: On the Beach</v>
      </c>
      <c r="C55">
        <f>'AAA Top 50'!F59</f>
        <v>90</v>
      </c>
      <c r="D55">
        <f>'AAA Top 50'!G59</f>
        <v>90</v>
      </c>
      <c r="E55">
        <f>'AAA Top 50'!H59</f>
        <v>9</v>
      </c>
      <c r="F55">
        <f>'AAA Top 50'!I59</f>
        <v>9</v>
      </c>
      <c r="G55">
        <f>'AAA Top 50'!J59</f>
        <v>90</v>
      </c>
      <c r="H55">
        <f>'AAA Top 50'!K59</f>
        <v>90</v>
      </c>
      <c r="I55">
        <f>'AAA Top 50'!L59</f>
        <v>8.3939393939393945</v>
      </c>
    </row>
    <row r="56" spans="1:9">
      <c r="A56">
        <f>'AAA Top 50'!A60</f>
        <v>55</v>
      </c>
      <c r="B56" t="str">
        <f>'AAA Top 50'!B60</f>
        <v>Final Fantasy VII Remake</v>
      </c>
      <c r="C56">
        <f>'AAA Top 50'!F60</f>
        <v>87</v>
      </c>
      <c r="D56">
        <f>'AAA Top 50'!G60</f>
        <v>89</v>
      </c>
      <c r="E56">
        <f>'AAA Top 50'!H60</f>
        <v>8</v>
      </c>
      <c r="F56">
        <f>'AAA Top 50'!I60</f>
        <v>8</v>
      </c>
      <c r="G56">
        <f>'AAA Top 50'!J60</f>
        <v>80</v>
      </c>
      <c r="H56">
        <f>'AAA Top 50'!K60</f>
        <v>83.2</v>
      </c>
      <c r="I56">
        <f>'AAA Top 50'!L60</f>
        <v>8.3636363636363633</v>
      </c>
    </row>
    <row r="57" spans="1:9">
      <c r="A57">
        <f>'AAA Top 50'!A61</f>
        <v>56</v>
      </c>
      <c r="B57" t="str">
        <f>'AAA Top 50'!B61</f>
        <v>Final Fantasy XVI</v>
      </c>
      <c r="C57">
        <f>'AAA Top 50'!F61</f>
        <v>87</v>
      </c>
      <c r="D57">
        <f>'AAA Top 50'!G61</f>
        <v>89</v>
      </c>
      <c r="E57">
        <f>'AAA Top 50'!H61</f>
        <v>9</v>
      </c>
      <c r="F57">
        <f>'AAA Top 50'!I61</f>
        <v>9</v>
      </c>
      <c r="G57">
        <f>'AAA Top 50'!J61</f>
        <v>80</v>
      </c>
      <c r="H57">
        <f>'AAA Top 50'!K61</f>
        <v>87.2</v>
      </c>
      <c r="I57">
        <f>'AAA Top 50'!L61</f>
        <v>8.3333333333333339</v>
      </c>
    </row>
    <row r="58" spans="1:9">
      <c r="A58">
        <f>'AAA Top 50'!A62</f>
        <v>57</v>
      </c>
      <c r="B58" t="str">
        <f>'AAA Top 50'!B62</f>
        <v>Final Fantasy XV</v>
      </c>
      <c r="C58">
        <f>'AAA Top 50'!F62</f>
        <v>81</v>
      </c>
      <c r="D58">
        <f>'AAA Top 50'!G62</f>
        <v>82</v>
      </c>
      <c r="E58">
        <f>'AAA Top 50'!H62</f>
        <v>0</v>
      </c>
      <c r="F58">
        <f>'AAA Top 50'!I62</f>
        <v>8</v>
      </c>
      <c r="G58">
        <f>'AAA Top 50'!J62</f>
        <v>85</v>
      </c>
      <c r="H58">
        <f>'AAA Top 50'!K62</f>
        <v>82</v>
      </c>
      <c r="I58">
        <f>'AAA Top 50'!L62</f>
        <v>8.3030303030303028</v>
      </c>
    </row>
    <row r="59" spans="1:9">
      <c r="A59">
        <f>'AAA Top 50'!A63</f>
        <v>58</v>
      </c>
      <c r="B59" t="str">
        <f>'AAA Top 50'!B63</f>
        <v>Kingdom Hearts II</v>
      </c>
      <c r="C59">
        <f>'AAA Top 50'!F63</f>
        <v>87</v>
      </c>
      <c r="D59">
        <f>'AAA Top 50'!G63</f>
        <v>0</v>
      </c>
      <c r="E59">
        <f>'AAA Top 50'!H63</f>
        <v>9</v>
      </c>
      <c r="F59">
        <f>'AAA Top 50'!I63</f>
        <v>9</v>
      </c>
      <c r="G59">
        <f>'AAA Top 50'!J63</f>
        <v>0</v>
      </c>
      <c r="H59">
        <f>'AAA Top 50'!K63</f>
        <v>89</v>
      </c>
      <c r="I59">
        <f>'AAA Top 50'!L63</f>
        <v>8.2727272727272734</v>
      </c>
    </row>
    <row r="60" spans="1:9">
      <c r="A60">
        <f>'AAA Top 50'!A64</f>
        <v>59</v>
      </c>
      <c r="B60" t="str">
        <f>'AAA Top 50'!B64</f>
        <v>NieR:Automata</v>
      </c>
      <c r="C60">
        <f>'AAA Top 50'!F64</f>
        <v>88</v>
      </c>
      <c r="D60">
        <f>'AAA Top 50'!G64</f>
        <v>84</v>
      </c>
      <c r="E60">
        <f>'AAA Top 50'!H64</f>
        <v>0</v>
      </c>
      <c r="F60">
        <f>'AAA Top 50'!I64</f>
        <v>8</v>
      </c>
      <c r="G60">
        <f>'AAA Top 50'!J64</f>
        <v>87</v>
      </c>
      <c r="H60">
        <f>'AAA Top 50'!K64</f>
        <v>84.75</v>
      </c>
      <c r="I60">
        <f>'AAA Top 50'!L64</f>
        <v>8.2424242424242422</v>
      </c>
    </row>
    <row r="61" spans="1:9">
      <c r="A61">
        <f>'AAA Top 50'!A65</f>
        <v>60</v>
      </c>
      <c r="B61" t="str">
        <f>'AAA Top 50'!B65</f>
        <v>Diablo II</v>
      </c>
      <c r="C61">
        <f>'AAA Top 50'!F65</f>
        <v>88</v>
      </c>
      <c r="D61">
        <f>'AAA Top 50'!G65</f>
        <v>0</v>
      </c>
      <c r="E61">
        <f>'AAA Top 50'!H65</f>
        <v>9</v>
      </c>
      <c r="F61">
        <f>'AAA Top 50'!I65</f>
        <v>9</v>
      </c>
      <c r="G61">
        <f>'AAA Top 50'!J65</f>
        <v>0</v>
      </c>
      <c r="H61">
        <f>'AAA Top 50'!K65</f>
        <v>89.333333333333329</v>
      </c>
      <c r="I61">
        <f>'AAA Top 50'!L65</f>
        <v>8.2121212121212128</v>
      </c>
    </row>
    <row r="62" spans="1:9">
      <c r="A62">
        <f>'AAA Top 50'!A66</f>
        <v>61</v>
      </c>
      <c r="B62" t="str">
        <f>'AAA Top 50'!B66</f>
        <v>Diablo IV</v>
      </c>
      <c r="C62">
        <f>'AAA Top 50'!F66</f>
        <v>91</v>
      </c>
      <c r="D62">
        <f>'AAA Top 50'!G66</f>
        <v>90</v>
      </c>
      <c r="E62">
        <f>'AAA Top 50'!H66</f>
        <v>0</v>
      </c>
      <c r="F62">
        <f>'AAA Top 50'!I66</f>
        <v>9</v>
      </c>
      <c r="G62">
        <f>'AAA Top 50'!J66</f>
        <v>86</v>
      </c>
      <c r="H62">
        <f>'AAA Top 50'!K66</f>
        <v>89.25</v>
      </c>
      <c r="I62">
        <f>'AAA Top 50'!L66</f>
        <v>8.1818181818181817</v>
      </c>
    </row>
    <row r="63" spans="1:9">
      <c r="A63">
        <f>'AAA Top 50'!A67</f>
        <v>62</v>
      </c>
      <c r="B63" t="str">
        <f>'AAA Top 50'!B67</f>
        <v>World of Warcraft</v>
      </c>
      <c r="C63">
        <f>'AAA Top 50'!F67</f>
        <v>93</v>
      </c>
      <c r="D63">
        <f>'AAA Top 50'!G67</f>
        <v>0</v>
      </c>
      <c r="E63">
        <f>'AAA Top 50'!H67</f>
        <v>9.5</v>
      </c>
      <c r="F63">
        <f>'AAA Top 50'!I67</f>
        <v>9</v>
      </c>
      <c r="G63">
        <f>'AAA Top 50'!J67</f>
        <v>0</v>
      </c>
      <c r="H63">
        <f>'AAA Top 50'!K67</f>
        <v>92.666666666666671</v>
      </c>
      <c r="I63">
        <f>'AAA Top 50'!L67</f>
        <v>8.1515151515151523</v>
      </c>
    </row>
    <row r="64" spans="1:9">
      <c r="A64">
        <f>'AAA Top 50'!A68</f>
        <v>63</v>
      </c>
      <c r="B64" t="str">
        <f>'AAA Top 50'!B68</f>
        <v>StarCraft II: Wings of Liberty</v>
      </c>
      <c r="C64">
        <f>'AAA Top 50'!F68</f>
        <v>93</v>
      </c>
      <c r="D64">
        <f>'AAA Top 50'!G68</f>
        <v>93</v>
      </c>
      <c r="E64">
        <f>'AAA Top 50'!H68</f>
        <v>0</v>
      </c>
      <c r="F64">
        <f>'AAA Top 50'!I68</f>
        <v>9</v>
      </c>
      <c r="G64">
        <f>'AAA Top 50'!J68</f>
        <v>93</v>
      </c>
      <c r="H64">
        <f>'AAA Top 50'!K68</f>
        <v>92.25</v>
      </c>
      <c r="I64">
        <f>'AAA Top 50'!L68</f>
        <v>8.1212121212121211</v>
      </c>
    </row>
    <row r="65" spans="1:9">
      <c r="A65">
        <f>'AAA Top 50'!A69</f>
        <v>64</v>
      </c>
      <c r="B65" t="str">
        <f>'AAA Top 50'!B69</f>
        <v>Warcraft III: Reign of Chaos</v>
      </c>
      <c r="C65">
        <f>'AAA Top 50'!F69</f>
        <v>92</v>
      </c>
      <c r="D65">
        <f>'AAA Top 50'!G69</f>
        <v>0</v>
      </c>
      <c r="E65">
        <f>'AAA Top 50'!H69</f>
        <v>9.5</v>
      </c>
      <c r="F65">
        <f>'AAA Top 50'!I69</f>
        <v>9</v>
      </c>
      <c r="G65">
        <f>'AAA Top 50'!J69</f>
        <v>0</v>
      </c>
      <c r="H65">
        <f>'AAA Top 50'!K69</f>
        <v>92.333333333333329</v>
      </c>
      <c r="I65">
        <f>'AAA Top 50'!L69</f>
        <v>8.0909090909090899</v>
      </c>
    </row>
    <row r="66" spans="1:9">
      <c r="A66">
        <f>'AAA Top 50'!A70</f>
        <v>65</v>
      </c>
      <c r="B66" t="str">
        <f>'AAA Top 50'!B70</f>
        <v>Overwatch</v>
      </c>
      <c r="C66">
        <f>'AAA Top 50'!F70</f>
        <v>91</v>
      </c>
      <c r="D66">
        <f>'AAA Top 50'!G70</f>
        <v>91</v>
      </c>
      <c r="E66">
        <f>'AAA Top 50'!H70</f>
        <v>9.5</v>
      </c>
      <c r="F66">
        <f>'AAA Top 50'!I70</f>
        <v>9</v>
      </c>
      <c r="G66">
        <f>'AAA Top 50'!J70</f>
        <v>90</v>
      </c>
      <c r="H66">
        <f>'AAA Top 50'!K70</f>
        <v>91.4</v>
      </c>
      <c r="I66">
        <f>'AAA Top 50'!L70</f>
        <v>8.0606060606060606</v>
      </c>
    </row>
    <row r="67" spans="1:9">
      <c r="A67">
        <f>'AAA Top 50'!A71</f>
        <v>66</v>
      </c>
      <c r="B67" t="str">
        <f>'AAA Top 50'!B71</f>
        <v>Call of Duty: Modern Warfare 2</v>
      </c>
      <c r="C67">
        <f>'AAA Top 50'!F71</f>
        <v>94</v>
      </c>
      <c r="D67">
        <f>'AAA Top 50'!G71</f>
        <v>94</v>
      </c>
      <c r="E67">
        <f>'AAA Top 50'!H71</f>
        <v>9.5</v>
      </c>
      <c r="F67">
        <f>'AAA Top 50'!I71</f>
        <v>9.5</v>
      </c>
      <c r="G67">
        <f>'AAA Top 50'!J71</f>
        <v>0</v>
      </c>
      <c r="H67">
        <f>'AAA Top 50'!K71</f>
        <v>94.5</v>
      </c>
      <c r="I67">
        <f>'AAA Top 50'!L71</f>
        <v>8.0303030303030312</v>
      </c>
    </row>
    <row r="68" spans="1:9">
      <c r="A68">
        <f>'AAA Top 50'!A72</f>
        <v>67</v>
      </c>
      <c r="B68" t="str">
        <f>'AAA Top 50'!B72</f>
        <v>Call of Duty: Black Ops</v>
      </c>
      <c r="C68">
        <f>'AAA Top 50'!F72</f>
        <v>88</v>
      </c>
      <c r="D68">
        <f>'AAA Top 50'!G72</f>
        <v>81</v>
      </c>
      <c r="E68">
        <f>'AAA Top 50'!H72</f>
        <v>9</v>
      </c>
      <c r="F68">
        <f>'AAA Top 50'!I72</f>
        <v>9</v>
      </c>
      <c r="G68">
        <f>'AAA Top 50'!J72</f>
        <v>0</v>
      </c>
      <c r="H68">
        <f>'AAA Top 50'!K72</f>
        <v>87.25</v>
      </c>
      <c r="I68">
        <f>'AAA Top 50'!L72</f>
        <v>8</v>
      </c>
    </row>
    <row r="69" spans="1:9">
      <c r="A69">
        <f>'AAA Top 50'!A73</f>
        <v>68</v>
      </c>
      <c r="B69" t="str">
        <f>'AAA Top 50'!B73</f>
        <v>Call of Duty: Black Ops II</v>
      </c>
      <c r="C69">
        <f>'AAA Top 50'!F73</f>
        <v>83</v>
      </c>
      <c r="D69">
        <f>'AAA Top 50'!G73</f>
        <v>81</v>
      </c>
      <c r="E69">
        <f>'AAA Top 50'!H73</f>
        <v>9</v>
      </c>
      <c r="F69">
        <f>'AAA Top 50'!I73</f>
        <v>9</v>
      </c>
      <c r="G69">
        <f>'AAA Top 50'!J73</f>
        <v>85</v>
      </c>
      <c r="H69">
        <f>'AAA Top 50'!K73</f>
        <v>85.8</v>
      </c>
      <c r="I69">
        <f>'AAA Top 50'!L73</f>
        <v>7.9696969696969697</v>
      </c>
    </row>
    <row r="70" spans="1:9">
      <c r="A70">
        <f>'AAA Top 50'!A74</f>
        <v>69</v>
      </c>
      <c r="B70" t="str">
        <f>'AAA Top 50'!B74</f>
        <v>Battlefield 1</v>
      </c>
      <c r="C70">
        <f>'AAA Top 50'!F74</f>
        <v>89</v>
      </c>
      <c r="D70">
        <f>'AAA Top 50'!G74</f>
        <v>87</v>
      </c>
      <c r="E70">
        <f>'AAA Top 50'!H74</f>
        <v>9</v>
      </c>
      <c r="F70">
        <f>'AAA Top 50'!I74</f>
        <v>8</v>
      </c>
      <c r="G70">
        <f>'AAA Top 50'!J74</f>
        <v>84</v>
      </c>
      <c r="H70">
        <f>'AAA Top 50'!K74</f>
        <v>86</v>
      </c>
      <c r="I70">
        <f>'AAA Top 50'!L74</f>
        <v>7.9393939393939394</v>
      </c>
    </row>
    <row r="71" spans="1:9">
      <c r="A71">
        <f>'AAA Top 50'!A75</f>
        <v>70</v>
      </c>
      <c r="B71" t="str">
        <f>'AAA Top 50'!B75</f>
        <v>Battlefield 3</v>
      </c>
      <c r="C71">
        <f>'AAA Top 50'!F75</f>
        <v>85</v>
      </c>
      <c r="D71">
        <f>'AAA Top 50'!G75</f>
        <v>87</v>
      </c>
      <c r="E71">
        <f>'AAA Top 50'!H75</f>
        <v>9</v>
      </c>
      <c r="F71">
        <f>'AAA Top 50'!I75</f>
        <v>9</v>
      </c>
      <c r="G71">
        <f>'AAA Top 50'!J75</f>
        <v>0</v>
      </c>
      <c r="H71">
        <f>'AAA Top 50'!K75</f>
        <v>88</v>
      </c>
      <c r="I71">
        <f>'AAA Top 50'!L75</f>
        <v>7.9090909090909092</v>
      </c>
    </row>
    <row r="72" spans="1:9">
      <c r="A72">
        <f>'AAA Top 50'!A76</f>
        <v>71</v>
      </c>
      <c r="B72" t="str">
        <f>'AAA Top 50'!B76</f>
        <v>Battlefield 4</v>
      </c>
      <c r="C72">
        <f>'AAA Top 50'!F76</f>
        <v>81</v>
      </c>
      <c r="D72">
        <f>'AAA Top 50'!G76</f>
        <v>84</v>
      </c>
      <c r="E72">
        <f>'AAA Top 50'!H76</f>
        <v>8.5</v>
      </c>
      <c r="F72">
        <f>'AAA Top 50'!I76</f>
        <v>8</v>
      </c>
      <c r="G72">
        <f>'AAA Top 50'!J76</f>
        <v>0</v>
      </c>
      <c r="H72">
        <f>'AAA Top 50'!K76</f>
        <v>82.5</v>
      </c>
      <c r="I72">
        <f>'AAA Top 50'!L76</f>
        <v>7.8787878787878789</v>
      </c>
    </row>
    <row r="73" spans="1:9">
      <c r="A73">
        <f>'AAA Top 50'!A77</f>
        <v>72</v>
      </c>
      <c r="B73" t="str">
        <f>'AAA Top 50'!B77</f>
        <v>Metal Gear Solid V: The Phantom Pain</v>
      </c>
      <c r="C73">
        <f>'AAA Top 50'!F77</f>
        <v>95</v>
      </c>
      <c r="D73">
        <f>'AAA Top 50'!G77</f>
        <v>91</v>
      </c>
      <c r="E73">
        <f>'AAA Top 50'!H77</f>
        <v>10</v>
      </c>
      <c r="F73">
        <f>'AAA Top 50'!I77</f>
        <v>10</v>
      </c>
      <c r="G73">
        <f>'AAA Top 50'!J77</f>
        <v>95</v>
      </c>
      <c r="H73">
        <f>'AAA Top 50'!K77</f>
        <v>96.2</v>
      </c>
      <c r="I73">
        <f>'AAA Top 50'!L77</f>
        <v>7.8484848484848486</v>
      </c>
    </row>
    <row r="74" spans="1:9">
      <c r="A74">
        <f>'AAA Top 50'!A78</f>
        <v>73</v>
      </c>
      <c r="B74" t="str">
        <f>'AAA Top 50'!B78</f>
        <v>Hitman: World of Assassination</v>
      </c>
      <c r="C74">
        <f>'AAA Top 50'!F78</f>
        <v>85</v>
      </c>
      <c r="D74">
        <f>'AAA Top 50'!G78</f>
        <v>84</v>
      </c>
      <c r="E74">
        <f>'AAA Top 50'!H78</f>
        <v>9</v>
      </c>
      <c r="F74">
        <f>'AAA Top 50'!I78</f>
        <v>8</v>
      </c>
      <c r="G74">
        <f>'AAA Top 50'!J78</f>
        <v>88</v>
      </c>
      <c r="H74">
        <f>'AAA Top 50'!K78</f>
        <v>85.4</v>
      </c>
      <c r="I74">
        <f>'AAA Top 50'!L78</f>
        <v>7.8181818181818183</v>
      </c>
    </row>
    <row r="75" spans="1:9">
      <c r="A75">
        <f>'AAA Top 50'!A79</f>
        <v>74</v>
      </c>
      <c r="B75" t="str">
        <f>'AAA Top 50'!B79</f>
        <v>Dishonored 2</v>
      </c>
      <c r="C75">
        <f>'AAA Top 50'!F79</f>
        <v>88</v>
      </c>
      <c r="D75">
        <f>'AAA Top 50'!G79</f>
        <v>88</v>
      </c>
      <c r="E75">
        <f>'AAA Top 50'!H79</f>
        <v>9</v>
      </c>
      <c r="F75">
        <f>'AAA Top 50'!I79</f>
        <v>9</v>
      </c>
      <c r="G75">
        <f>'AAA Top 50'!J79</f>
        <v>88</v>
      </c>
      <c r="H75">
        <f>'AAA Top 50'!K79</f>
        <v>88.8</v>
      </c>
      <c r="I75">
        <f>'AAA Top 50'!L79</f>
        <v>7.7878787878787872</v>
      </c>
    </row>
    <row r="76" spans="1:9">
      <c r="A76">
        <f>'AAA Top 50'!A80</f>
        <v>75</v>
      </c>
      <c r="B76" t="str">
        <f>'AAA Top 50'!B80</f>
        <v>Prey</v>
      </c>
      <c r="C76">
        <f>'AAA Top 50'!F80</f>
        <v>84</v>
      </c>
      <c r="D76">
        <f>'AAA Top 50'!G80</f>
        <v>82</v>
      </c>
      <c r="E76">
        <f>'AAA Top 50'!H80</f>
        <v>8</v>
      </c>
      <c r="F76">
        <f>'AAA Top 50'!I80</f>
        <v>8</v>
      </c>
      <c r="G76">
        <f>'AAA Top 50'!J80</f>
        <v>84</v>
      </c>
      <c r="H76">
        <f>'AAA Top 50'!K80</f>
        <v>82</v>
      </c>
      <c r="I76">
        <f>'AAA Top 50'!L80</f>
        <v>7.7575757575757578</v>
      </c>
    </row>
    <row r="77" spans="1:9">
      <c r="A77">
        <f>'AAA Top 50'!A81</f>
        <v>76</v>
      </c>
      <c r="B77" t="str">
        <f>'AAA Top 50'!B81</f>
        <v>The Evil Within 2</v>
      </c>
      <c r="C77">
        <f>'AAA Top 50'!F81</f>
        <v>82</v>
      </c>
      <c r="D77">
        <f>'AAA Top 50'!G81</f>
        <v>80</v>
      </c>
      <c r="E77">
        <f>'AAA Top 50'!H81</f>
        <v>8</v>
      </c>
      <c r="F77">
        <f>'AAA Top 50'!I81</f>
        <v>8</v>
      </c>
      <c r="G77">
        <f>'AAA Top 50'!J81</f>
        <v>80</v>
      </c>
      <c r="H77">
        <f>'AAA Top 50'!K81</f>
        <v>80.400000000000006</v>
      </c>
      <c r="I77">
        <f>'AAA Top 50'!L81</f>
        <v>7.7272727272727266</v>
      </c>
    </row>
    <row r="78" spans="1:9">
      <c r="A78">
        <f>'AAA Top 50'!A82</f>
        <v>77</v>
      </c>
      <c r="B78" t="str">
        <f>'AAA Top 50'!B82</f>
        <v>Resident Evil 7: Biohazard</v>
      </c>
      <c r="C78">
        <f>'AAA Top 50'!F82</f>
        <v>86</v>
      </c>
      <c r="D78">
        <f>'AAA Top 50'!G82</f>
        <v>86</v>
      </c>
      <c r="E78">
        <f>'AAA Top 50'!H82</f>
        <v>7.7</v>
      </c>
      <c r="F78">
        <f>'AAA Top 50'!I82</f>
        <v>8</v>
      </c>
      <c r="G78">
        <f>'AAA Top 50'!J82</f>
        <v>89</v>
      </c>
      <c r="H78">
        <f>'AAA Top 50'!K82</f>
        <v>83.6</v>
      </c>
      <c r="I78">
        <f>'AAA Top 50'!L82</f>
        <v>7.6969696969696972</v>
      </c>
    </row>
    <row r="79" spans="1:9">
      <c r="A79">
        <f>'AAA Top 50'!A83</f>
        <v>78</v>
      </c>
      <c r="B79" t="str">
        <f>'AAA Top 50'!B83</f>
        <v>Resident Evil 3</v>
      </c>
      <c r="C79">
        <f>'AAA Top 50'!F83</f>
        <v>79</v>
      </c>
      <c r="D79">
        <f>'AAA Top 50'!G83</f>
        <v>84</v>
      </c>
      <c r="E79">
        <f>'AAA Top 50'!H83</f>
        <v>9</v>
      </c>
      <c r="F79">
        <f>'AAA Top 50'!I83</f>
        <v>6</v>
      </c>
      <c r="G79">
        <f>'AAA Top 50'!J83</f>
        <v>77</v>
      </c>
      <c r="H79">
        <f>'AAA Top 50'!K83</f>
        <v>78</v>
      </c>
      <c r="I79">
        <f>'AAA Top 50'!L83</f>
        <v>7.6666666666666661</v>
      </c>
    </row>
    <row r="80" spans="1:9">
      <c r="A80">
        <f>'AAA Top 50'!A84</f>
        <v>79</v>
      </c>
      <c r="B80" t="str">
        <f>'AAA Top 50'!B84</f>
        <v>Resident Evil Village</v>
      </c>
      <c r="C80">
        <f>'AAA Top 50'!F84</f>
        <v>84</v>
      </c>
      <c r="D80">
        <f>'AAA Top 50'!G84</f>
        <v>84</v>
      </c>
      <c r="E80">
        <f>'AAA Top 50'!H84</f>
        <v>8</v>
      </c>
      <c r="F80">
        <f>'AAA Top 50'!I84</f>
        <v>8</v>
      </c>
      <c r="G80">
        <f>'AAA Top 50'!J84</f>
        <v>80</v>
      </c>
      <c r="H80">
        <f>'AAA Top 50'!K84</f>
        <v>81.599999999999994</v>
      </c>
      <c r="I80">
        <f>'AAA Top 50'!L84</f>
        <v>7.6363636363636367</v>
      </c>
    </row>
    <row r="81" spans="1:9">
      <c r="A81">
        <f>'AAA Top 50'!A85</f>
        <v>80</v>
      </c>
      <c r="B81" t="str">
        <f>'AAA Top 50'!B85</f>
        <v>Resident Evil 5</v>
      </c>
      <c r="C81">
        <f>'AAA Top 50'!F85</f>
        <v>84</v>
      </c>
      <c r="D81">
        <f>'AAA Top 50'!G85</f>
        <v>76</v>
      </c>
      <c r="E81">
        <f>'AAA Top 50'!H85</f>
        <v>8.5</v>
      </c>
      <c r="F81">
        <f>'AAA Top 50'!I85</f>
        <v>8</v>
      </c>
      <c r="G81">
        <f>'AAA Top 50'!J85</f>
        <v>0</v>
      </c>
      <c r="H81">
        <f>'AAA Top 50'!K85</f>
        <v>81.25</v>
      </c>
      <c r="I81">
        <f>'AAA Top 50'!L85</f>
        <v>7.6060606060606055</v>
      </c>
    </row>
    <row r="82" spans="1:9">
      <c r="A82">
        <f>'AAA Top 50'!A86</f>
        <v>81</v>
      </c>
      <c r="B82" t="str">
        <f>'AAA Top 50'!B86</f>
        <v>Shadow of Mordor</v>
      </c>
      <c r="C82">
        <f>'AAA Top 50'!F86</f>
        <v>84</v>
      </c>
      <c r="D82">
        <f>'AAA Top 50'!G86</f>
        <v>84</v>
      </c>
      <c r="E82">
        <f>'AAA Top 50'!H86</f>
        <v>9.3000000000000007</v>
      </c>
      <c r="F82">
        <f>'AAA Top 50'!I86</f>
        <v>8</v>
      </c>
      <c r="G82">
        <f>'AAA Top 50'!J86</f>
        <v>79</v>
      </c>
      <c r="H82">
        <f>'AAA Top 50'!K86</f>
        <v>84</v>
      </c>
      <c r="I82">
        <f>'AAA Top 50'!L86</f>
        <v>7.5757575757575761</v>
      </c>
    </row>
    <row r="83" spans="1:9">
      <c r="A83">
        <f>'AAA Top 50'!A87</f>
        <v>82</v>
      </c>
      <c r="B83" t="str">
        <f>'AAA Top 50'!B87</f>
        <v>Middle-earth: Shadow of War</v>
      </c>
      <c r="C83">
        <f>'AAA Top 50'!F87</f>
        <v>80</v>
      </c>
      <c r="D83">
        <f>'AAA Top 50'!G87</f>
        <v>80</v>
      </c>
      <c r="E83">
        <f>'AAA Top 50'!H87</f>
        <v>8</v>
      </c>
      <c r="F83">
        <f>'AAA Top 50'!I87</f>
        <v>7.5</v>
      </c>
      <c r="G83">
        <f>'AAA Top 50'!J87</f>
        <v>81</v>
      </c>
      <c r="H83">
        <f>'AAA Top 50'!K87</f>
        <v>79.2</v>
      </c>
      <c r="I83">
        <f>'AAA Top 50'!L87</f>
        <v>7.545454545454545</v>
      </c>
    </row>
    <row r="84" spans="1:9">
      <c r="A84">
        <f>'AAA Top 50'!A88</f>
        <v>83</v>
      </c>
      <c r="B84" t="str">
        <f>'AAA Top 50'!B88</f>
        <v>Hogwarts Legacy</v>
      </c>
      <c r="C84">
        <f>'AAA Top 50'!F88</f>
        <v>84</v>
      </c>
      <c r="D84">
        <f>'AAA Top 50'!G88</f>
        <v>84</v>
      </c>
      <c r="E84">
        <f>'AAA Top 50'!H88</f>
        <v>9</v>
      </c>
      <c r="F84">
        <f>'AAA Top 50'!I88</f>
        <v>8</v>
      </c>
      <c r="G84">
        <f>'AAA Top 50'!J88</f>
        <v>85</v>
      </c>
      <c r="H84">
        <f>'AAA Top 50'!K88</f>
        <v>84.6</v>
      </c>
      <c r="I84">
        <f>'AAA Top 50'!L88</f>
        <v>7.5151515151515156</v>
      </c>
    </row>
    <row r="85" spans="1:9">
      <c r="A85">
        <f>'AAA Top 50'!A89</f>
        <v>84</v>
      </c>
      <c r="B85" t="str">
        <f>'AAA Top 50'!B89</f>
        <v>Marvel's Spider-Man 2</v>
      </c>
      <c r="C85">
        <f>'AAA Top 50'!F89</f>
        <v>90</v>
      </c>
      <c r="D85">
        <f>'AAA Top 50'!G89</f>
        <v>90</v>
      </c>
      <c r="E85">
        <f>'AAA Top 50'!H89</f>
        <v>8</v>
      </c>
      <c r="F85">
        <f>'AAA Top 50'!I89</f>
        <v>8</v>
      </c>
      <c r="G85">
        <f>'AAA Top 50'!J89</f>
        <v>89</v>
      </c>
      <c r="H85">
        <f>'AAA Top 50'!K89</f>
        <v>85.8</v>
      </c>
      <c r="I85">
        <f>'AAA Top 50'!L89</f>
        <v>7.4848484848484844</v>
      </c>
    </row>
    <row r="86" spans="1:9">
      <c r="A86">
        <f>'AAA Top 50'!A90</f>
        <v>85</v>
      </c>
      <c r="B86" t="str">
        <f>'AAA Top 50'!B90</f>
        <v>Ratchet &amp; Clank: Rift Apart</v>
      </c>
      <c r="C86">
        <f>'AAA Top 50'!F90</f>
        <v>88</v>
      </c>
      <c r="D86">
        <f>'AAA Top 50'!G90</f>
        <v>89</v>
      </c>
      <c r="E86">
        <f>'AAA Top 50'!H90</f>
        <v>9</v>
      </c>
      <c r="F86">
        <f>'AAA Top 50'!I90</f>
        <v>9</v>
      </c>
      <c r="G86">
        <f>'AAA Top 50'!J90</f>
        <v>85</v>
      </c>
      <c r="H86">
        <f>'AAA Top 50'!K90</f>
        <v>88.4</v>
      </c>
      <c r="I86">
        <f>'AAA Top 50'!L90</f>
        <v>7.454545454545455</v>
      </c>
    </row>
    <row r="87" spans="1:9">
      <c r="A87">
        <f>'AAA Top 50'!A91</f>
        <v>86</v>
      </c>
      <c r="B87" t="str">
        <f>'AAA Top 50'!B91</f>
        <v>Returnal</v>
      </c>
      <c r="C87">
        <f>'AAA Top 50'!F91</f>
        <v>86</v>
      </c>
      <c r="D87">
        <f>'AAA Top 50'!G91</f>
        <v>85</v>
      </c>
      <c r="E87">
        <f>'AAA Top 50'!H91</f>
        <v>9</v>
      </c>
      <c r="F87">
        <f>'AAA Top 50'!I91</f>
        <v>8</v>
      </c>
      <c r="G87">
        <f>'AAA Top 50'!J91</f>
        <v>88</v>
      </c>
      <c r="H87">
        <f>'AAA Top 50'!K91</f>
        <v>85.8</v>
      </c>
      <c r="I87">
        <f>'AAA Top 50'!L91</f>
        <v>7.4242424242424239</v>
      </c>
    </row>
    <row r="88" spans="1:9">
      <c r="A88">
        <f>'AAA Top 50'!A92</f>
        <v>87</v>
      </c>
      <c r="B88" t="str">
        <f>'AAA Top 50'!B92</f>
        <v>Deathloop</v>
      </c>
      <c r="C88">
        <f>'AAA Top 50'!F92</f>
        <v>89</v>
      </c>
      <c r="D88">
        <f>'AAA Top 50'!G92</f>
        <v>87</v>
      </c>
      <c r="E88">
        <f>'AAA Top 50'!H92</f>
        <v>10</v>
      </c>
      <c r="F88">
        <f>'AAA Top 50'!I92</f>
        <v>10</v>
      </c>
      <c r="G88">
        <f>'AAA Top 50'!J92</f>
        <v>91</v>
      </c>
      <c r="H88">
        <f>'AAA Top 50'!K92</f>
        <v>93.4</v>
      </c>
      <c r="I88">
        <f>'AAA Top 50'!L92</f>
        <v>7.3939393939393945</v>
      </c>
    </row>
    <row r="89" spans="1:9">
      <c r="A89">
        <f>'AAA Top 50'!A93</f>
        <v>88</v>
      </c>
      <c r="B89" t="str">
        <f>'AAA Top 50'!B93</f>
        <v>Days Gone</v>
      </c>
      <c r="C89">
        <f>'AAA Top 50'!F93</f>
        <v>71</v>
      </c>
      <c r="D89">
        <f>'AAA Top 50'!G93</f>
        <v>76</v>
      </c>
      <c r="E89">
        <f>'AAA Top 50'!H93</f>
        <v>6.5</v>
      </c>
      <c r="F89">
        <f>'AAA Top 50'!I93</f>
        <v>5</v>
      </c>
      <c r="G89">
        <f>'AAA Top 50'!J93</f>
        <v>74</v>
      </c>
      <c r="H89">
        <f>'AAA Top 50'!K93</f>
        <v>67.2</v>
      </c>
      <c r="I89">
        <f>'AAA Top 50'!L93</f>
        <v>7.3636363636363633</v>
      </c>
    </row>
    <row r="90" spans="1:9">
      <c r="A90">
        <f>'AAA Top 50'!A94</f>
        <v>89</v>
      </c>
      <c r="B90" t="str">
        <f>'AAA Top 50'!B94</f>
        <v>The Division</v>
      </c>
      <c r="C90">
        <f>'AAA Top 50'!F94</f>
        <v>80</v>
      </c>
      <c r="D90">
        <f>'AAA Top 50'!G94</f>
        <v>80</v>
      </c>
      <c r="E90">
        <f>'AAA Top 50'!H94</f>
        <v>6.7</v>
      </c>
      <c r="F90">
        <f>'AAA Top 50'!I94</f>
        <v>6</v>
      </c>
      <c r="G90">
        <f>'AAA Top 50'!J94</f>
        <v>74</v>
      </c>
      <c r="H90">
        <f>'AAA Top 50'!K94</f>
        <v>72.2</v>
      </c>
      <c r="I90">
        <f>'AAA Top 50'!L94</f>
        <v>7.333333333333333</v>
      </c>
    </row>
    <row r="91" spans="1:9">
      <c r="A91">
        <f>'AAA Top 50'!A95</f>
        <v>90</v>
      </c>
      <c r="B91" t="str">
        <f>'AAA Top 50'!B95</f>
        <v>The Division 2</v>
      </c>
      <c r="C91">
        <f>'AAA Top 50'!F95</f>
        <v>84</v>
      </c>
      <c r="D91">
        <f>'AAA Top 50'!G95</f>
        <v>84</v>
      </c>
      <c r="E91">
        <f>'AAA Top 50'!H95</f>
        <v>8.5</v>
      </c>
      <c r="F91">
        <f>'AAA Top 50'!I95</f>
        <v>8</v>
      </c>
      <c r="G91">
        <f>'AAA Top 50'!J95</f>
        <v>84</v>
      </c>
      <c r="H91">
        <f>'AAA Top 50'!K95</f>
        <v>83.4</v>
      </c>
      <c r="I91">
        <f>'AAA Top 50'!L95</f>
        <v>7.3030303030303028</v>
      </c>
    </row>
    <row r="92" spans="1:9">
      <c r="A92">
        <f>'AAA Top 50'!A96</f>
        <v>91</v>
      </c>
      <c r="B92" t="str">
        <f>'AAA Top 50'!B96</f>
        <v>Assassin's Creed Origins</v>
      </c>
      <c r="C92">
        <f>'AAA Top 50'!F96</f>
        <v>81</v>
      </c>
      <c r="D92">
        <f>'AAA Top 50'!G96</f>
        <v>81</v>
      </c>
      <c r="E92">
        <f>'AAA Top 50'!H96</f>
        <v>8.5</v>
      </c>
      <c r="F92">
        <f>'AAA Top 50'!I96</f>
        <v>8</v>
      </c>
      <c r="G92">
        <f>'AAA Top 50'!J96</f>
        <v>80</v>
      </c>
      <c r="H92">
        <f>'AAA Top 50'!K96</f>
        <v>81.400000000000006</v>
      </c>
      <c r="I92">
        <f>'AAA Top 50'!L96</f>
        <v>7.2727272727272725</v>
      </c>
    </row>
    <row r="93" spans="1:9">
      <c r="A93">
        <f>'AAA Top 50'!A97</f>
        <v>92</v>
      </c>
      <c r="B93" t="str">
        <f>'AAA Top 50'!B97</f>
        <v>Assassin's Creed Odyssey</v>
      </c>
      <c r="C93">
        <f>'AAA Top 50'!F97</f>
        <v>85</v>
      </c>
      <c r="D93">
        <f>'AAA Top 50'!G97</f>
        <v>87</v>
      </c>
      <c r="E93">
        <f>'AAA Top 50'!H97</f>
        <v>8.5</v>
      </c>
      <c r="F93">
        <f>'AAA Top 50'!I97</f>
        <v>7.5</v>
      </c>
      <c r="G93">
        <f>'AAA Top 50'!J97</f>
        <v>83</v>
      </c>
      <c r="H93">
        <f>'AAA Top 50'!K97</f>
        <v>83</v>
      </c>
      <c r="I93">
        <f>'AAA Top 50'!L97</f>
        <v>7.2424242424242422</v>
      </c>
    </row>
    <row r="94" spans="1:9">
      <c r="A94">
        <f>'AAA Top 50'!A98</f>
        <v>93</v>
      </c>
      <c r="B94" t="str">
        <f>'AAA Top 50'!B98</f>
        <v>Assassin's Creed Valhalla</v>
      </c>
      <c r="C94">
        <f>'AAA Top 50'!F98</f>
        <v>80</v>
      </c>
      <c r="D94">
        <f>'AAA Top 50'!G98</f>
        <v>80</v>
      </c>
      <c r="E94">
        <f>'AAA Top 50'!H98</f>
        <v>8</v>
      </c>
      <c r="F94">
        <f>'AAA Top 50'!I98</f>
        <v>8</v>
      </c>
      <c r="G94">
        <f>'AAA Top 50'!J98</f>
        <v>82</v>
      </c>
      <c r="H94">
        <f>'AAA Top 50'!K98</f>
        <v>80.400000000000006</v>
      </c>
      <c r="I94">
        <f>'AAA Top 50'!L98</f>
        <v>7.2121212121212119</v>
      </c>
    </row>
    <row r="95" spans="1:9">
      <c r="A95">
        <f>'AAA Top 50'!A99</f>
        <v>94</v>
      </c>
      <c r="B95" t="str">
        <f>'AAA Top 50'!B99</f>
        <v>Watch Dogs 2</v>
      </c>
      <c r="C95">
        <f>'AAA Top 50'!F99</f>
        <v>82</v>
      </c>
      <c r="D95">
        <f>'AAA Top 50'!G99</f>
        <v>81</v>
      </c>
      <c r="E95">
        <f>'AAA Top 50'!H99</f>
        <v>8.5</v>
      </c>
      <c r="F95">
        <f>'AAA Top 50'!I99</f>
        <v>8</v>
      </c>
      <c r="G95">
        <f>'AAA Top 50'!J99</f>
        <v>80</v>
      </c>
      <c r="H95">
        <f>'AAA Top 50'!K99</f>
        <v>81.599999999999994</v>
      </c>
      <c r="I95">
        <f>'AAA Top 50'!L99</f>
        <v>7.1818181818181817</v>
      </c>
    </row>
    <row r="96" spans="1:9">
      <c r="A96">
        <f>'AAA Top 50'!A100</f>
        <v>95</v>
      </c>
      <c r="B96" t="str">
        <f>'AAA Top 50'!B100</f>
        <v>Sleeping Dogs</v>
      </c>
      <c r="C96">
        <f>'AAA Top 50'!F100</f>
        <v>80</v>
      </c>
      <c r="D96">
        <f>'AAA Top 50'!G100</f>
        <v>79</v>
      </c>
      <c r="E96">
        <f>'AAA Top 50'!H100</f>
        <v>9</v>
      </c>
      <c r="F96">
        <f>'AAA Top 50'!I100</f>
        <v>8</v>
      </c>
      <c r="G96">
        <f>'AAA Top 50'!J100</f>
        <v>79</v>
      </c>
      <c r="H96">
        <f>'AAA Top 50'!K100</f>
        <v>81.599999999999994</v>
      </c>
      <c r="I96">
        <f>'AAA Top 50'!L100</f>
        <v>7.1515151515151514</v>
      </c>
    </row>
    <row r="97" spans="1:9">
      <c r="A97">
        <f>'AAA Top 50'!A101</f>
        <v>96</v>
      </c>
      <c r="B97" t="str">
        <f>'AAA Top 50'!B101</f>
        <v>Just Cause 3</v>
      </c>
      <c r="C97">
        <f>'AAA Top 50'!F101</f>
        <v>74</v>
      </c>
      <c r="D97">
        <f>'AAA Top 50'!G101</f>
        <v>73</v>
      </c>
      <c r="E97">
        <f>'AAA Top 50'!H101</f>
        <v>8</v>
      </c>
      <c r="F97">
        <f>'AAA Top 50'!I101</f>
        <v>7</v>
      </c>
      <c r="G97">
        <f>'AAA Top 50'!J101</f>
        <v>76</v>
      </c>
      <c r="H97">
        <f>'AAA Top 50'!K101</f>
        <v>74.599999999999994</v>
      </c>
      <c r="I97">
        <f>'AAA Top 50'!L101</f>
        <v>7.1212121212121211</v>
      </c>
    </row>
    <row r="98" spans="1:9">
      <c r="A98">
        <f>'AAA Top 50'!A102</f>
        <v>97</v>
      </c>
      <c r="B98" t="str">
        <f>'AAA Top 50'!B102</f>
        <v>Max Payne 3</v>
      </c>
      <c r="C98">
        <f>'AAA Top 50'!F102</f>
        <v>87</v>
      </c>
      <c r="D98">
        <f>'AAA Top 50'!G102</f>
        <v>86</v>
      </c>
      <c r="E98">
        <f>'AAA Top 50'!H102</f>
        <v>9</v>
      </c>
      <c r="F98">
        <f>'AAA Top 50'!I102</f>
        <v>9</v>
      </c>
      <c r="G98">
        <f>'AAA Top 50'!J102</f>
        <v>89</v>
      </c>
      <c r="H98">
        <f>'AAA Top 50'!K102</f>
        <v>88.4</v>
      </c>
      <c r="I98">
        <f>'AAA Top 50'!L102</f>
        <v>7.0909090909090908</v>
      </c>
    </row>
    <row r="99" spans="1:9">
      <c r="A99">
        <f>'AAA Top 50'!A103</f>
        <v>98</v>
      </c>
      <c r="B99" t="str">
        <f>'AAA Top 50'!B103</f>
        <v>Tomb Raider</v>
      </c>
      <c r="C99">
        <f>'AAA Top 50'!F103</f>
        <v>86</v>
      </c>
      <c r="D99">
        <f>'AAA Top 50'!G103</f>
        <v>85</v>
      </c>
      <c r="E99">
        <f>'AAA Top 50'!H103</f>
        <v>9.1</v>
      </c>
      <c r="F99">
        <f>'AAA Top 50'!I103</f>
        <v>8.5</v>
      </c>
      <c r="G99">
        <f>'AAA Top 50'!J103</f>
        <v>85</v>
      </c>
      <c r="H99">
        <f>'AAA Top 50'!K103</f>
        <v>86.4</v>
      </c>
      <c r="I99">
        <f>'AAA Top 50'!L103</f>
        <v>7.0606060606060606</v>
      </c>
    </row>
    <row r="100" spans="1:9">
      <c r="A100">
        <f>'AAA Top 50'!A104</f>
        <v>99</v>
      </c>
      <c r="B100" t="str">
        <f>'AAA Top 50'!B104</f>
        <v>Rise of the Tomb Raider</v>
      </c>
      <c r="C100">
        <f>'AAA Top 50'!F104</f>
        <v>88</v>
      </c>
      <c r="D100">
        <f>'AAA Top 50'!G104</f>
        <v>86</v>
      </c>
      <c r="E100">
        <f>'AAA Top 50'!H104</f>
        <v>9</v>
      </c>
      <c r="F100">
        <f>'AAA Top 50'!I104</f>
        <v>8.5</v>
      </c>
      <c r="G100">
        <f>'AAA Top 50'!J104</f>
        <v>86</v>
      </c>
      <c r="H100">
        <f>'AAA Top 50'!K104</f>
        <v>87</v>
      </c>
      <c r="I100">
        <f>'AAA Top 50'!L104</f>
        <v>7.0303030303030303</v>
      </c>
    </row>
    <row r="101" spans="1:9">
      <c r="A101">
        <f>'AAA Top 50'!A105</f>
        <v>100</v>
      </c>
      <c r="B101" t="str">
        <f>'AAA Top 50'!B105</f>
        <v>L.A. Noire</v>
      </c>
      <c r="C101">
        <f>'AAA Top 50'!F105</f>
        <v>83</v>
      </c>
      <c r="D101">
        <f>'AAA Top 50'!G105</f>
        <v>83</v>
      </c>
      <c r="E101">
        <f>'AAA Top 50'!H105</f>
        <v>8.5</v>
      </c>
      <c r="F101">
        <f>'AAA Top 50'!I105</f>
        <v>7.5</v>
      </c>
      <c r="G101">
        <f>'AAA Top 50'!J105</f>
        <v>82</v>
      </c>
      <c r="H101">
        <f>'AAA Top 50'!K105</f>
        <v>81.599999999999994</v>
      </c>
      <c r="I101">
        <f>'AAA Top 50'!L105</f>
        <v>7</v>
      </c>
    </row>
  </sheetData>
  <autoFilter ref="A1:I101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AAA Top 50</vt:lpstr>
      <vt:lpstr>Posters</vt:lpstr>
      <vt:lpstr>Timeline</vt:lpstr>
      <vt:lpstr>Methodology</vt:lpstr>
      <vt:lpstr>Sortable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Leul Tewodros</cp:lastModifiedBy>
  <dcterms:modified xsi:type="dcterms:W3CDTF">2026-09-13T20:46:45Z</dcterms:modified>
</cp:coreProperties>
</file>